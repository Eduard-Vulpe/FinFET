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7.xml" ContentType="application/vnd.openxmlformats-officedocument.spreadsheetml.table+xml"/>
  <Override PartName="/xl/queryTables/queryTable13.xml" ContentType="application/vnd.openxmlformats-officedocument.spreadsheetml.queryTable+xml"/>
  <Override PartName="/xl/tables/table18.xml" ContentType="application/vnd.openxmlformats-officedocument.spreadsheetml.table+xml"/>
  <Override PartName="/xl/queryTables/queryTable14.xml" ContentType="application/vnd.openxmlformats-officedocument.spreadsheetml.queryTable+xml"/>
  <Override PartName="/xl/tables/table19.xml" ContentType="application/vnd.openxmlformats-officedocument.spreadsheetml.table+xml"/>
  <Override PartName="/xl/queryTables/queryTable15.xml" ContentType="application/vnd.openxmlformats-officedocument.spreadsheetml.queryTable+xml"/>
  <Override PartName="/xl/tables/table20.xml" ContentType="application/vnd.openxmlformats-officedocument.spreadsheetml.table+xml"/>
  <Override PartName="/xl/queryTables/queryTable16.xml" ContentType="application/vnd.openxmlformats-officedocument.spreadsheetml.queryTable+xml"/>
  <Override PartName="/xl/tables/table21.xml" ContentType="application/vnd.openxmlformats-officedocument.spreadsheetml.table+xml"/>
  <Override PartName="/xl/queryTables/queryTable17.xml" ContentType="application/vnd.openxmlformats-officedocument.spreadsheetml.queryTable+xml"/>
  <Override PartName="/xl/tables/table22.xml" ContentType="application/vnd.openxmlformats-officedocument.spreadsheetml.table+xml"/>
  <Override PartName="/xl/queryTables/queryTable18.xml" ContentType="application/vnd.openxmlformats-officedocument.spreadsheetml.queryTable+xml"/>
  <Override PartName="/xl/tables/table23.xml" ContentType="application/vnd.openxmlformats-officedocument.spreadsheetml.table+xml"/>
  <Override PartName="/xl/queryTables/queryTable19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4.xml" ContentType="application/vnd.openxmlformats-officedocument.spreadsheetml.table+xml"/>
  <Override PartName="/xl/queryTables/queryTable20.xml" ContentType="application/vnd.openxmlformats-officedocument.spreadsheetml.queryTable+xml"/>
  <Override PartName="/xl/tables/table25.xml" ContentType="application/vnd.openxmlformats-officedocument.spreadsheetml.table+xml"/>
  <Override PartName="/xl/queryTables/queryTable21.xml" ContentType="application/vnd.openxmlformats-officedocument.spreadsheetml.queryTable+xml"/>
  <Override PartName="/xl/tables/table26.xml" ContentType="application/vnd.openxmlformats-officedocument.spreadsheetml.table+xml"/>
  <Override PartName="/xl/queryTables/queryTable22.xml" ContentType="application/vnd.openxmlformats-officedocument.spreadsheetml.queryTable+xml"/>
  <Override PartName="/xl/tables/table27.xml" ContentType="application/vnd.openxmlformats-officedocument.spreadsheetml.table+xml"/>
  <Override PartName="/xl/queryTables/queryTable23.xml" ContentType="application/vnd.openxmlformats-officedocument.spreadsheetml.queryTable+xml"/>
  <Override PartName="/xl/tables/table28.xml" ContentType="application/vnd.openxmlformats-officedocument.spreadsheetml.table+xml"/>
  <Override PartName="/xl/queryTables/queryTable24.xml" ContentType="application/vnd.openxmlformats-officedocument.spreadsheetml.queryTable+xml"/>
  <Override PartName="/xl/tables/table29.xml" ContentType="application/vnd.openxmlformats-officedocument.spreadsheetml.table+xml"/>
  <Override PartName="/xl/queryTables/queryTable25.xml" ContentType="application/vnd.openxmlformats-officedocument.spreadsheetml.queryTable+xml"/>
  <Override PartName="/xl/tables/table30.xml" ContentType="application/vnd.openxmlformats-officedocument.spreadsheetml.table+xml"/>
  <Override PartName="/xl/queryTables/queryTable2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queryTables/queryTable27.xml" ContentType="application/vnd.openxmlformats-officedocument.spreadsheetml.queryTable+xml"/>
  <Override PartName="/xl/tables/table55.xml" ContentType="application/vnd.openxmlformats-officedocument.spreadsheetml.table+xml"/>
  <Override PartName="/xl/queryTables/queryTable28.xml" ContentType="application/vnd.openxmlformats-officedocument.spreadsheetml.queryTable+xml"/>
  <Override PartName="/xl/tables/table56.xml" ContentType="application/vnd.openxmlformats-officedocument.spreadsheetml.table+xml"/>
  <Override PartName="/xl/queryTables/queryTable29.xml" ContentType="application/vnd.openxmlformats-officedocument.spreadsheetml.queryTable+xml"/>
  <Override PartName="/xl/tables/table57.xml" ContentType="application/vnd.openxmlformats-officedocument.spreadsheetml.table+xml"/>
  <Override PartName="/xl/queryTables/queryTable30.xml" ContentType="application/vnd.openxmlformats-officedocument.spreadsheetml.queryTable+xml"/>
  <Override PartName="/xl/tables/table58.xml" ContentType="application/vnd.openxmlformats-officedocument.spreadsheetml.table+xml"/>
  <Override PartName="/xl/queryTables/queryTable31.xml" ContentType="application/vnd.openxmlformats-officedocument.spreadsheetml.queryTable+xml"/>
  <Override PartName="/xl/tables/table59.xml" ContentType="application/vnd.openxmlformats-officedocument.spreadsheetml.table+xml"/>
  <Override PartName="/xl/queryTables/queryTable32.xml" ContentType="application/vnd.openxmlformats-officedocument.spreadsheetml.queryTable+xml"/>
  <Override PartName="/xl/tables/table60.xml" ContentType="application/vnd.openxmlformats-officedocument.spreadsheetml.table+xml"/>
  <Override PartName="/xl/queryTables/queryTable33.xml" ContentType="application/vnd.openxmlformats-officedocument.spreadsheetml.queryTable+xml"/>
  <Override PartName="/xl/tables/table61.xml" ContentType="application/vnd.openxmlformats-officedocument.spreadsheetml.table+xml"/>
  <Override PartName="/xl/queryTables/queryTable34.xml" ContentType="application/vnd.openxmlformats-officedocument.spreadsheetml.queryTable+xml"/>
  <Override PartName="/xl/tables/table62.xml" ContentType="application/vnd.openxmlformats-officedocument.spreadsheetml.table+xml"/>
  <Override PartName="/xl/queryTables/queryTable35.xml" ContentType="application/vnd.openxmlformats-officedocument.spreadsheetml.queryTable+xml"/>
  <Override PartName="/xl/tables/table63.xml" ContentType="application/vnd.openxmlformats-officedocument.spreadsheetml.table+xml"/>
  <Override PartName="/xl/queryTables/queryTable36.xml" ContentType="application/vnd.openxmlformats-officedocument.spreadsheetml.queryTable+xml"/>
  <Override PartName="/xl/tables/table64.xml" ContentType="application/vnd.openxmlformats-officedocument.spreadsheetml.table+xml"/>
  <Override PartName="/xl/queryTables/queryTable37.xml" ContentType="application/vnd.openxmlformats-officedocument.spreadsheetml.queryTable+xml"/>
  <Override PartName="/xl/tables/table65.xml" ContentType="application/vnd.openxmlformats-officedocument.spreadsheetml.table+xml"/>
  <Override PartName="/xl/queryTables/queryTable38.xml" ContentType="application/vnd.openxmlformats-officedocument.spreadsheetml.queryTable+xml"/>
  <Override PartName="/xl/tables/table66.xml" ContentType="application/vnd.openxmlformats-officedocument.spreadsheetml.table+xml"/>
  <Override PartName="/xl/queryTables/queryTable39.xml" ContentType="application/vnd.openxmlformats-officedocument.spreadsheetml.queryTable+xml"/>
  <Override PartName="/xl/tables/table67.xml" ContentType="application/vnd.openxmlformats-officedocument.spreadsheetml.table+xml"/>
  <Override PartName="/xl/queryTables/queryTable40.xml" ContentType="application/vnd.openxmlformats-officedocument.spreadsheetml.queryTable+xml"/>
  <Override PartName="/xl/tables/table68.xml" ContentType="application/vnd.openxmlformats-officedocument.spreadsheetml.table+xml"/>
  <Override PartName="/xl/queryTables/queryTable41.xml" ContentType="application/vnd.openxmlformats-officedocument.spreadsheetml.queryTable+xml"/>
  <Override PartName="/xl/tables/table69.xml" ContentType="application/vnd.openxmlformats-officedocument.spreadsheetml.table+xml"/>
  <Override PartName="/xl/queryTables/queryTable42.xml" ContentType="application/vnd.openxmlformats-officedocument.spreadsheetml.queryTable+xml"/>
  <Override PartName="/xl/tables/table70.xml" ContentType="application/vnd.openxmlformats-officedocument.spreadsheetml.table+xml"/>
  <Override PartName="/xl/queryTables/queryTable43.xml" ContentType="application/vnd.openxmlformats-officedocument.spreadsheetml.queryTable+xml"/>
  <Override PartName="/xl/tables/table71.xml" ContentType="application/vnd.openxmlformats-officedocument.spreadsheetml.table+xml"/>
  <Override PartName="/xl/queryTables/queryTable44.xml" ContentType="application/vnd.openxmlformats-officedocument.spreadsheetml.queryTable+xml"/>
  <Override PartName="/xl/tables/table72.xml" ContentType="application/vnd.openxmlformats-officedocument.spreadsheetml.table+xml"/>
  <Override PartName="/xl/queryTables/queryTable45.xml" ContentType="application/vnd.openxmlformats-officedocument.spreadsheetml.queryTable+xml"/>
  <Override PartName="/xl/tables/table73.xml" ContentType="application/vnd.openxmlformats-officedocument.spreadsheetml.table+xml"/>
  <Override PartName="/xl/queryTables/queryTable46.xml" ContentType="application/vnd.openxmlformats-officedocument.spreadsheetml.queryTable+xml"/>
  <Override PartName="/xl/tables/table74.xml" ContentType="application/vnd.openxmlformats-officedocument.spreadsheetml.table+xml"/>
  <Override PartName="/xl/queryTables/queryTable47.xml" ContentType="application/vnd.openxmlformats-officedocument.spreadsheetml.queryTable+xml"/>
  <Override PartName="/xl/tables/table75.xml" ContentType="application/vnd.openxmlformats-officedocument.spreadsheetml.table+xml"/>
  <Override PartName="/xl/queryTables/queryTable4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AcestRegistruDeLucru"/>
  <mc:AlternateContent xmlns:mc="http://schemas.openxmlformats.org/markup-compatibility/2006">
    <mc:Choice Requires="x15">
      <x15ac:absPath xmlns:x15ac="http://schemas.microsoft.com/office/spreadsheetml/2010/11/ac" url="C:\Users\vulpe\Desktop\CAS 2026\FinFET Excel Calculator\"/>
    </mc:Choice>
  </mc:AlternateContent>
  <xr:revisionPtr revIDLastSave="0" documentId="13_ncr:1_{478AFDC5-C0FE-40EA-BF71-975C332E3A2A}" xr6:coauthVersionLast="47" xr6:coauthVersionMax="47" xr10:uidLastSave="{00000000-0000-0000-0000-000000000000}"/>
  <bookViews>
    <workbookView xWindow="-108" yWindow="-108" windowWidth="23256" windowHeight="12576" firstSheet="5" activeTab="8" xr2:uid="{00000000-000D-0000-FFFF-FFFF00000000}"/>
  </bookViews>
  <sheets>
    <sheet name="Id_wrt_Vds" sheetId="6" r:id="rId1"/>
    <sheet name="Sqrt_of_Id_wrt_Vgs_for_Vbs_0V" sheetId="9" r:id="rId2"/>
    <sheet name="Sqrt_of_Id_wrt_Vgs_for_diff_Vbs" sheetId="23" r:id="rId3"/>
    <sheet name="Vds_sat" sheetId="4" r:id="rId4"/>
    <sheet name="K_and_VT0" sheetId="10" r:id="rId5"/>
    <sheet name="Lambda" sheetId="11" r:id="rId6"/>
    <sheet name="Gamma" sheetId="24" r:id="rId7"/>
    <sheet name="VT0_and_Vds_coeffs" sheetId="13" r:id="rId8"/>
    <sheet name="Id_wrt_Vds_Plot" sheetId="25" r:id="rId9"/>
    <sheet name="Sqrt_of_Id_wrt_Vgs_Plot" sheetId="26" r:id="rId10"/>
    <sheet name="User_Parameters" sheetId="27" r:id="rId11"/>
    <sheet name="DO NOT CHANGE!" sheetId="28" r:id="rId12"/>
  </sheets>
  <definedNames>
    <definedName name="DateExterne_1" localSheetId="11" hidden="1">'DO NOT CHANGE!'!$A$1:$A$2</definedName>
    <definedName name="DateExterne_1" localSheetId="0" hidden="1">Id_wrt_Vds!$A$2:$J$53</definedName>
    <definedName name="DateExterne_1" localSheetId="8" hidden="1">Id_wrt_Vds_Plot!$A$2:$F$53</definedName>
    <definedName name="DateExterne_1" localSheetId="1" hidden="1">Sqrt_of_Id_wrt_Vgs_for_Vbs_0V!$A$2:$J$53</definedName>
    <definedName name="DateExterne_1" localSheetId="3" hidden="1">Vds_sat!$B$8:$C$13</definedName>
    <definedName name="DateExterne_1" localSheetId="7" hidden="1">VT0_and_Vds_coeffs!$A$2:$B$9</definedName>
    <definedName name="DateExterne_10" localSheetId="11" hidden="1">'DO NOT CHANGE!'!$A$13:$A$14</definedName>
    <definedName name="DateExterne_11" localSheetId="11" hidden="1">'DO NOT CHANGE!'!$A$16:$A$17</definedName>
    <definedName name="DateExterne_12" localSheetId="11" hidden="1">'DO NOT CHANGE!'!$A$19:$A$20</definedName>
    <definedName name="DateExterne_13" localSheetId="11" hidden="1">'DO NOT CHANGE!'!$A$22:$A$23</definedName>
    <definedName name="DateExterne_14" localSheetId="11" hidden="1">'DO NOT CHANGE!'!$C$1:$C$2</definedName>
    <definedName name="DateExterne_15" localSheetId="11" hidden="1">'DO NOT CHANGE!'!$C$4:$C$5</definedName>
    <definedName name="DateExterne_16" localSheetId="11" hidden="1">'DO NOT CHANGE!'!$C$7:$C$8</definedName>
    <definedName name="DateExterne_17" localSheetId="11" hidden="1">'DO NOT CHANGE!'!$C$10:$C$11</definedName>
    <definedName name="DateExterne_18" localSheetId="11" hidden="1">'DO NOT CHANGE!'!$C$13:$C$14</definedName>
    <definedName name="DateExterne_19" localSheetId="11" hidden="1">'DO NOT CHANGE!'!$C$16:$C$17</definedName>
    <definedName name="DateExterne_2" localSheetId="11" hidden="1">'DO NOT CHANGE!'!$E$1:$E$2</definedName>
    <definedName name="DateExterne_2" localSheetId="8" hidden="1">Id_wrt_Vds_Plot!$N$2:$O$53</definedName>
    <definedName name="DateExterne_2" localSheetId="4" hidden="1">K_and_VT0!$A$2:$J$15</definedName>
    <definedName name="DateExterne_2" localSheetId="9" hidden="1">Sqrt_of_Id_wrt_Vgs_Plot!$A$2:$F$53</definedName>
    <definedName name="DateExterne_2" localSheetId="7" hidden="1">VT0_and_Vds_coeffs!$C$2:$D$11</definedName>
    <definedName name="DateExterne_20" localSheetId="11" hidden="1">'DO NOT CHANGE!'!$C$19:$C$20</definedName>
    <definedName name="DateExterne_21" localSheetId="11" hidden="1">'DO NOT CHANGE!'!$C$22:$C$23</definedName>
    <definedName name="DateExterne_22" localSheetId="11" hidden="1">'DO NOT CHANGE!'!$C$25:$C$26</definedName>
    <definedName name="DateExterne_3" localSheetId="11" hidden="1">'DO NOT CHANGE!'!$E$4:$E$5</definedName>
    <definedName name="DateExterne_3" localSheetId="8" hidden="1">Id_wrt_Vds_Plot!$J$2:$K$53</definedName>
    <definedName name="DateExterne_3" localSheetId="5" hidden="1">Lambda!$A$2:$J$27</definedName>
    <definedName name="DateExterne_3" localSheetId="9" hidden="1">Sqrt_of_Id_wrt_Vgs_Plot!$N$2:$O$53</definedName>
    <definedName name="DateExterne_3" localSheetId="7" hidden="1">VT0_and_Vds_coeffs!$E$2:$F$13</definedName>
    <definedName name="DateExterne_4" localSheetId="11" hidden="1">'DO NOT CHANGE!'!$E$7:$E$8</definedName>
    <definedName name="DateExterne_4" localSheetId="8" hidden="1">Id_wrt_Vds_Plot!$L$2:$M$53</definedName>
    <definedName name="DateExterne_4" localSheetId="9" hidden="1">Sqrt_of_Id_wrt_Vgs_Plot!$J$2:$K$53</definedName>
    <definedName name="DateExterne_4" localSheetId="7" hidden="1">VT0_and_Vds_coeffs!$G$2:$H$15</definedName>
    <definedName name="DateExterne_5" localSheetId="11" hidden="1">'DO NOT CHANGE!'!$E$10:$E$11</definedName>
    <definedName name="DateExterne_5" localSheetId="8" hidden="1">Id_wrt_Vds_Plot!$P$2:$Q$53</definedName>
    <definedName name="DateExterne_5" localSheetId="9" hidden="1">Sqrt_of_Id_wrt_Vgs_Plot!$L$2:$M$53</definedName>
    <definedName name="DateExterne_5" localSheetId="7" hidden="1">VT0_and_Vds_coeffs!$I$2:$J$18</definedName>
    <definedName name="DateExterne_6" localSheetId="11" hidden="1">'DO NOT CHANGE!'!$E$13:$E$14</definedName>
    <definedName name="DateExterne_6" localSheetId="6" hidden="1">Gamma!$A$2:$J$22</definedName>
    <definedName name="DateExterne_6" localSheetId="8" hidden="1">Id_wrt_Vds_Plot!$R$2:$S$53</definedName>
    <definedName name="DateExterne_6" localSheetId="2" hidden="1">Sqrt_of_Id_wrt_Vgs_for_diff_Vbs!$A$2:$J$83</definedName>
    <definedName name="DateExterne_6" localSheetId="9" hidden="1">Sqrt_of_Id_wrt_Vgs_Plot!$P$2:$Q$53</definedName>
    <definedName name="DateExterne_7" localSheetId="11" hidden="1">'DO NOT CHANGE!'!$A$4:$A$5</definedName>
    <definedName name="DateExterne_7" localSheetId="8" hidden="1">Id_wrt_Vds_Plot!$T$2:$U$53</definedName>
    <definedName name="DateExterne_7" localSheetId="9" hidden="1">Sqrt_of_Id_wrt_Vgs_Plot!$R$2:$S$53</definedName>
    <definedName name="DateExterne_8" localSheetId="11" hidden="1">'DO NOT CHANGE!'!$A$7:$A$8</definedName>
    <definedName name="DateExterne_8" localSheetId="9" hidden="1">Sqrt_of_Id_wrt_Vgs_Plot!$T$2:$U$53</definedName>
    <definedName name="DateExterne_9" localSheetId="11" hidden="1">'DO NOT CHANGE!'!$A$10:$A$11</definedName>
    <definedName name="K_and_VT0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5" l="1"/>
  <c r="G52" i="25"/>
  <c r="X13" i="25"/>
  <c r="X13" i="26"/>
  <c r="X12" i="26"/>
  <c r="X9" i="26"/>
  <c r="X12" i="25"/>
  <c r="G20" i="25" s="1"/>
  <c r="X9" i="25"/>
  <c r="G4" i="25" s="1"/>
  <c r="B4" i="4" a="1"/>
  <c r="N7" i="24"/>
  <c r="N6" i="24"/>
  <c r="N5" i="24"/>
  <c r="N4" i="24"/>
  <c r="N3" i="24"/>
  <c r="M7" i="24"/>
  <c r="M6" i="24"/>
  <c r="O6" i="24" s="1"/>
  <c r="M5" i="24"/>
  <c r="M4" i="24"/>
  <c r="O4" i="24" s="1"/>
  <c r="M3" i="24"/>
  <c r="O3" i="24" s="1"/>
  <c r="H26" i="25" a="1"/>
  <c r="H7" i="25" a="1"/>
  <c r="H11" i="25" a="1"/>
  <c r="H19" i="25" a="1"/>
  <c r="H27" i="25" a="1"/>
  <c r="H35" i="25" a="1"/>
  <c r="H44" i="25" a="1"/>
  <c r="H5" i="25" a="1"/>
  <c r="H17" i="25" a="1"/>
  <c r="H33" i="25" a="1"/>
  <c r="H53" i="25" a="1"/>
  <c r="H6" i="25" a="1"/>
  <c r="H18" i="25" a="1"/>
  <c r="H38" i="25" a="1"/>
  <c r="H50" i="25" a="1"/>
  <c r="H3" i="25" a="1"/>
  <c r="H15" i="25" a="1"/>
  <c r="H23" i="25" a="1"/>
  <c r="H31" i="25" a="1"/>
  <c r="H39" i="25" a="1"/>
  <c r="H43" i="25" a="1"/>
  <c r="H47" i="25" a="1"/>
  <c r="H51" i="25" a="1"/>
  <c r="H52" i="25" a="1"/>
  <c r="H9" i="25" a="1"/>
  <c r="H21" i="25" a="1"/>
  <c r="H41" i="25" a="1"/>
  <c r="H22" i="25" a="1"/>
  <c r="H8" i="25" a="1"/>
  <c r="H12" i="25" a="1"/>
  <c r="H20" i="25" a="1"/>
  <c r="H24" i="25" a="1"/>
  <c r="H28" i="25" a="1"/>
  <c r="H36" i="25" a="1"/>
  <c r="H48" i="25" a="1"/>
  <c r="H13" i="25" a="1"/>
  <c r="H37" i="25" a="1"/>
  <c r="H49" i="25" a="1"/>
  <c r="H10" i="25" a="1"/>
  <c r="H30" i="25" a="1"/>
  <c r="H4" i="25" a="1"/>
  <c r="H16" i="25" a="1"/>
  <c r="H32" i="25" a="1"/>
  <c r="H40" i="25" a="1"/>
  <c r="H29" i="25" a="1"/>
  <c r="H45" i="25" a="1"/>
  <c r="H14" i="25" a="1"/>
  <c r="H42" i="25" a="1"/>
  <c r="H46" i="25" a="1"/>
  <c r="H25" i="25" a="1"/>
  <c r="H34" i="25" a="1"/>
  <c r="H22" i="26" a="1"/>
  <c r="H34" i="26" a="1"/>
  <c r="H42" i="26" a="1"/>
  <c r="H29" i="26" a="1"/>
  <c r="H41" i="26" a="1"/>
  <c r="H6" i="26" a="1"/>
  <c r="H10" i="26" a="1"/>
  <c r="H14" i="26" a="1"/>
  <c r="H18" i="26" a="1"/>
  <c r="H26" i="26" a="1"/>
  <c r="H30" i="26" a="1"/>
  <c r="H38" i="26" a="1"/>
  <c r="H46" i="26" a="1"/>
  <c r="H50" i="26" a="1"/>
  <c r="H37" i="26" a="1"/>
  <c r="H53" i="26" a="1"/>
  <c r="H7" i="26" a="1"/>
  <c r="H11" i="26" a="1"/>
  <c r="H19" i="26" a="1"/>
  <c r="H23" i="26" a="1"/>
  <c r="H27" i="26" a="1"/>
  <c r="H31" i="26" a="1"/>
  <c r="H35" i="26" a="1"/>
  <c r="H39" i="26" a="1"/>
  <c r="H43" i="26" a="1"/>
  <c r="H47" i="26" a="1"/>
  <c r="H21" i="26" a="1"/>
  <c r="H45" i="26" a="1"/>
  <c r="H3" i="26" a="1"/>
  <c r="H15" i="26" a="1"/>
  <c r="H51" i="26" a="1"/>
  <c r="H8" i="26" a="1"/>
  <c r="H16" i="26" a="1"/>
  <c r="H20" i="26" a="1"/>
  <c r="H28" i="26" a="1"/>
  <c r="H36" i="26" a="1"/>
  <c r="H17" i="26" a="1"/>
  <c r="H49" i="26" a="1"/>
  <c r="H4" i="26" a="1"/>
  <c r="H12" i="26" a="1"/>
  <c r="H24" i="26" a="1"/>
  <c r="H32" i="26" a="1"/>
  <c r="H40" i="26" a="1"/>
  <c r="H44" i="26" a="1"/>
  <c r="H48" i="26" a="1"/>
  <c r="H52" i="26" a="1"/>
  <c r="H9" i="26" a="1"/>
  <c r="H13" i="26" a="1"/>
  <c r="H25" i="26" a="1"/>
  <c r="H33" i="26" a="1"/>
  <c r="H5" i="26" a="1"/>
  <c r="G28" i="25" l="1"/>
  <c r="G36" i="25"/>
  <c r="G43" i="25"/>
  <c r="G27" i="25"/>
  <c r="G19" i="25"/>
  <c r="G3" i="25"/>
  <c r="G50" i="25"/>
  <c r="G34" i="25"/>
  <c r="G18" i="25"/>
  <c r="G10" i="25"/>
  <c r="G49" i="25"/>
  <c r="G41" i="25"/>
  <c r="G33" i="25"/>
  <c r="G25" i="25"/>
  <c r="G17" i="25"/>
  <c r="G9" i="25"/>
  <c r="G48" i="25"/>
  <c r="G40" i="25"/>
  <c r="G32" i="25"/>
  <c r="G24" i="25"/>
  <c r="G16" i="25"/>
  <c r="G8" i="25"/>
  <c r="G47" i="25"/>
  <c r="G39" i="25"/>
  <c r="G31" i="25"/>
  <c r="G23" i="25"/>
  <c r="G15" i="25"/>
  <c r="G7" i="25"/>
  <c r="G12" i="25"/>
  <c r="G51" i="25"/>
  <c r="G35" i="25"/>
  <c r="G11" i="25"/>
  <c r="G42" i="25"/>
  <c r="G26" i="25"/>
  <c r="G46" i="25"/>
  <c r="G38" i="25"/>
  <c r="G30" i="25"/>
  <c r="G22" i="25"/>
  <c r="G14" i="25"/>
  <c r="G6" i="25"/>
  <c r="G53" i="25"/>
  <c r="G45" i="25"/>
  <c r="G37" i="25"/>
  <c r="G29" i="25"/>
  <c r="G21" i="25"/>
  <c r="G13" i="25"/>
  <c r="G5" i="25"/>
  <c r="H34" i="25"/>
  <c r="H25" i="25"/>
  <c r="H46" i="25"/>
  <c r="H42" i="25"/>
  <c r="H14" i="25"/>
  <c r="H45" i="25"/>
  <c r="H29" i="25"/>
  <c r="H40" i="25"/>
  <c r="H32" i="25"/>
  <c r="H16" i="25"/>
  <c r="H4" i="25"/>
  <c r="H30" i="25"/>
  <c r="H10" i="25"/>
  <c r="H49" i="25"/>
  <c r="H37" i="25"/>
  <c r="H13" i="25"/>
  <c r="H48" i="25"/>
  <c r="H36" i="25"/>
  <c r="H28" i="25"/>
  <c r="H24" i="25"/>
  <c r="H20" i="25"/>
  <c r="H12" i="25"/>
  <c r="H8" i="25"/>
  <c r="H22" i="25"/>
  <c r="H41" i="25"/>
  <c r="H21" i="25"/>
  <c r="H9" i="25"/>
  <c r="H52" i="25"/>
  <c r="H51" i="25"/>
  <c r="H47" i="25"/>
  <c r="H43" i="25"/>
  <c r="H39" i="25"/>
  <c r="H31" i="25"/>
  <c r="H23" i="25"/>
  <c r="H15" i="25"/>
  <c r="H3" i="25"/>
  <c r="H50" i="25"/>
  <c r="H38" i="25"/>
  <c r="H18" i="25"/>
  <c r="H6" i="25"/>
  <c r="H53" i="25"/>
  <c r="H33" i="25"/>
  <c r="H17" i="25"/>
  <c r="H5" i="25"/>
  <c r="H44" i="25"/>
  <c r="H35" i="25"/>
  <c r="H27" i="25"/>
  <c r="H19" i="25"/>
  <c r="H11" i="25"/>
  <c r="H7" i="25"/>
  <c r="H26" i="25"/>
  <c r="H5" i="26"/>
  <c r="H33" i="26"/>
  <c r="H25" i="26"/>
  <c r="H13" i="26"/>
  <c r="H9" i="26"/>
  <c r="H52" i="26"/>
  <c r="H48" i="26"/>
  <c r="H44" i="26"/>
  <c r="H40" i="26"/>
  <c r="H32" i="26"/>
  <c r="H24" i="26"/>
  <c r="H12" i="26"/>
  <c r="H4" i="26"/>
  <c r="H49" i="26"/>
  <c r="H17" i="26"/>
  <c r="H36" i="26"/>
  <c r="H28" i="26"/>
  <c r="H20" i="26"/>
  <c r="H16" i="26"/>
  <c r="H8" i="26"/>
  <c r="H51" i="26"/>
  <c r="H15" i="26"/>
  <c r="H3" i="26"/>
  <c r="H45" i="26"/>
  <c r="H21" i="26"/>
  <c r="H47" i="26"/>
  <c r="H43" i="26"/>
  <c r="H39" i="26"/>
  <c r="H35" i="26"/>
  <c r="H31" i="26"/>
  <c r="H27" i="26"/>
  <c r="H23" i="26"/>
  <c r="H19" i="26"/>
  <c r="H11" i="26"/>
  <c r="H7" i="26"/>
  <c r="H53" i="26"/>
  <c r="H37" i="26"/>
  <c r="H50" i="26"/>
  <c r="H46" i="26"/>
  <c r="H38" i="26"/>
  <c r="H30" i="26"/>
  <c r="H26" i="26"/>
  <c r="H18" i="26"/>
  <c r="H14" i="26"/>
  <c r="H10" i="26"/>
  <c r="H6" i="26"/>
  <c r="H41" i="26"/>
  <c r="H29" i="26"/>
  <c r="H42" i="26"/>
  <c r="H34" i="26"/>
  <c r="H22" i="26"/>
  <c r="B4" i="4"/>
  <c r="X3" i="26" s="1" a="1"/>
  <c r="X3" i="26" s="1"/>
  <c r="X3" i="25" a="1"/>
  <c r="X3" i="25" s="1"/>
  <c r="P7" i="24"/>
  <c r="P5" i="24"/>
  <c r="O7" i="24"/>
  <c r="P6" i="24"/>
  <c r="O5" i="24"/>
  <c r="P4" i="24"/>
  <c r="P3" i="24"/>
  <c r="N7" i="13" a="1"/>
  <c r="N7" i="13" s="1"/>
  <c r="N6" i="13" a="1"/>
  <c r="N6" i="13" s="1"/>
  <c r="N5" i="13" a="1"/>
  <c r="N5" i="13" s="1"/>
  <c r="N4" i="13" a="1"/>
  <c r="N4" i="13" s="1"/>
  <c r="N3" i="13" a="1"/>
  <c r="N3" i="13" s="1"/>
  <c r="R3" i="24" l="1"/>
  <c r="M7" i="11"/>
  <c r="M6" i="11"/>
  <c r="M5" i="11"/>
  <c r="M4" i="11"/>
  <c r="M3" i="11"/>
  <c r="N7" i="11"/>
  <c r="N6" i="11"/>
  <c r="N5" i="11"/>
  <c r="N4" i="11"/>
  <c r="N3" i="11"/>
  <c r="N7" i="10"/>
  <c r="N6" i="10"/>
  <c r="N5" i="10"/>
  <c r="N4" i="10"/>
  <c r="M7" i="10"/>
  <c r="M6" i="10"/>
  <c r="M5" i="10"/>
  <c r="M4" i="10"/>
  <c r="N3" i="10"/>
  <c r="M3" i="10"/>
  <c r="O5" i="11" l="1"/>
  <c r="O3" i="11"/>
  <c r="O6" i="11"/>
  <c r="L13" i="11" a="1"/>
  <c r="L13" i="11" s="1"/>
  <c r="O4" i="11"/>
  <c r="O7" i="11"/>
  <c r="O5" i="10"/>
  <c r="L5" i="13" s="1"/>
  <c r="P5" i="10"/>
  <c r="M5" i="13" s="1"/>
  <c r="P3" i="10"/>
  <c r="M3" i="13" s="1"/>
  <c r="O3" i="10"/>
  <c r="L3" i="13" s="1"/>
  <c r="O4" i="10"/>
  <c r="P4" i="10"/>
  <c r="O6" i="10"/>
  <c r="L6" i="13" s="1"/>
  <c r="P6" i="10"/>
  <c r="M6" i="13" s="1"/>
  <c r="O7" i="10"/>
  <c r="L7" i="13" s="1"/>
  <c r="P7" i="10"/>
  <c r="M7" i="13" s="1"/>
  <c r="X6" i="26" l="1" a="1"/>
  <c r="X6" i="26" s="1"/>
  <c r="X6" i="25" a="1"/>
  <c r="X6" i="25" s="1"/>
  <c r="M4" i="13"/>
  <c r="X10" i="26"/>
  <c r="X10" i="25"/>
  <c r="L4" i="13"/>
  <c r="S4" i="13" s="1"/>
  <c r="T4" i="13" s="1"/>
  <c r="X11" i="26"/>
  <c r="X11" i="25"/>
  <c r="S3" i="13"/>
  <c r="T3" i="13" s="1"/>
  <c r="R3" i="13"/>
  <c r="R5" i="13"/>
  <c r="S5" i="13"/>
  <c r="T5" i="13" s="1"/>
  <c r="R6" i="13"/>
  <c r="S6" i="13"/>
  <c r="T6" i="13" s="1"/>
  <c r="S7" i="13"/>
  <c r="T7" i="13" s="1"/>
  <c r="R7" i="13"/>
  <c r="G3" i="26" l="1"/>
  <c r="G11" i="26"/>
  <c r="G19" i="26"/>
  <c r="G22" i="26"/>
  <c r="G7" i="26"/>
  <c r="G4" i="26"/>
  <c r="G12" i="26"/>
  <c r="G20" i="26"/>
  <c r="G6" i="26"/>
  <c r="G15" i="26"/>
  <c r="G18" i="26"/>
  <c r="G5" i="26"/>
  <c r="G13" i="26"/>
  <c r="G21" i="26"/>
  <c r="G14" i="26"/>
  <c r="G23" i="26"/>
  <c r="G8" i="26"/>
  <c r="G16" i="26"/>
  <c r="G9" i="26"/>
  <c r="G17" i="26"/>
  <c r="G10" i="26"/>
  <c r="G45" i="26"/>
  <c r="G38" i="26"/>
  <c r="G28" i="26"/>
  <c r="G40" i="26"/>
  <c r="G25" i="26"/>
  <c r="G41" i="26"/>
  <c r="G48" i="26"/>
  <c r="G44" i="26"/>
  <c r="G27" i="26"/>
  <c r="G37" i="26"/>
  <c r="G32" i="26"/>
  <c r="G53" i="26"/>
  <c r="G46" i="26"/>
  <c r="G50" i="26"/>
  <c r="G34" i="26"/>
  <c r="G24" i="26"/>
  <c r="G35" i="26"/>
  <c r="G42" i="26"/>
  <c r="G29" i="26"/>
  <c r="G43" i="26"/>
  <c r="G49" i="26"/>
  <c r="G36" i="26"/>
  <c r="G52" i="26"/>
  <c r="G39" i="26"/>
  <c r="G30" i="26"/>
  <c r="G51" i="26"/>
  <c r="G26" i="26"/>
  <c r="G31" i="26"/>
  <c r="G33" i="26"/>
  <c r="G47" i="26"/>
  <c r="R4" i="13"/>
  <c r="R13" i="13" s="1" a="1"/>
  <c r="R13" i="13" s="1"/>
  <c r="X4" i="25" l="1" a="1"/>
  <c r="X4" i="26" a="1"/>
  <c r="X4" i="26" s="1"/>
  <c r="R19" i="13" a="1"/>
  <c r="R19" i="13" s="1"/>
  <c r="X5" i="25" l="1" a="1"/>
  <c r="X5" i="25" s="1"/>
  <c r="X5" i="26" a="1"/>
  <c r="X5" i="26" s="1"/>
  <c r="X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C37499-6124-4D1A-AC62-8D1D89392CDE}" keepAlive="1" name="Interogare - 400_Limit" description="Conexiune la interogarea „400_Limit” din registrul de lucru." type="5" refreshedVersion="8" background="1" saveData="1">
    <dbPr connection="Provider=Microsoft.Mashup.OleDb.1;Data Source=$Workbook$;Location=400_Limit;Extended Properties=&quot;&quot;" command="SELECT * FROM [400_Limit]"/>
  </connection>
  <connection id="2" xr16:uid="{69FE0FC8-E25E-4602-8CF3-EB1E7E04478A}" keepAlive="1" name="Interogare - 500_Limit" description="Conexiune la interogarea „500_Limit” din registrul de lucru." type="5" refreshedVersion="8" background="1" saveData="1">
    <dbPr connection="Provider=Microsoft.Mashup.OleDb.1;Data Source=$Workbook$;Location=500_Limit;Extended Properties=&quot;&quot;" command="SELECT * FROM [500_Limit]"/>
  </connection>
  <connection id="3" xr16:uid="{4951E0B3-307A-4BD2-9F97-404502FD93FC}" keepAlive="1" name="Interogare - 600_Limit" description="Conexiune la interogarea „600_Limit” din registrul de lucru." type="5" refreshedVersion="8" background="1" saveData="1">
    <dbPr connection="Provider=Microsoft.Mashup.OleDb.1;Data Source=$Workbook$;Location=600_Limit;Extended Properties=&quot;&quot;" command="SELECT * FROM [600_Limit]"/>
  </connection>
  <connection id="4" xr16:uid="{9B5C3FDB-598B-4DE4-9432-3E37D98940A4}" keepAlive="1" name="Interogare - 700_Limit" description="Conexiune la interogarea „700_Limit” din registrul de lucru." type="5" refreshedVersion="8" background="1" saveData="1">
    <dbPr connection="Provider=Microsoft.Mashup.OleDb.1;Data Source=$Workbook$;Location=700_Limit;Extended Properties=&quot;&quot;" command="SELECT * FROM [700_Limit]"/>
  </connection>
  <connection id="5" xr16:uid="{FB21CB7C-A978-489B-8DA3-10E319C76DFE}" keepAlive="1" name="Interogare - 800_Limit" description="Conexiune la interogarea „800_Limit” din registrul de lucru." type="5" refreshedVersion="8" background="1" saveData="1">
    <dbPr connection="Provider=Microsoft.Mashup.OleDb.1;Data Source=$Workbook$;Location=800_Limit;Extended Properties=&quot;&quot;" command="SELECT * FROM [800_Limit]"/>
  </connection>
  <connection id="6" xr16:uid="{1F19A75C-A93F-4241-B06D-F99BCEDB75C0}" keepAlive="1" name="Interogare - Gamma" description="Conexiune la interogarea „Gamma” din registrul de lucru." type="5" refreshedVersion="8" background="1" saveData="1">
    <dbPr connection="Provider=Microsoft.Mashup.OleDb.1;Data Source=$Workbook$;Location=Gamma;Extended Properties=&quot;&quot;" command="SELECT * FROM [Gamma]"/>
  </connection>
  <connection id="7" xr16:uid="{514A4940-DCCD-42B3-ACBE-5254C8D9A4E1}" keepAlive="1" name="Interogare - Id(Vds)" description="Conexiune la interogarea „Id(Vds)” din registrul de lucru." type="5" refreshedVersion="8" background="1" saveData="1">
    <dbPr connection="Provider=Microsoft.Mashup.OleDb.1;Data Source=$Workbook$;Location=Id(Vds);Extended Properties=&quot;&quot;" command="SELECT * FROM [Id(Vds)]"/>
  </connection>
  <connection id="8" xr16:uid="{9E46845D-49AA-4756-9FD3-5EE043F7F602}" keepAlive="1" name="Interogare - Id(Vds)_Plot" description="Conexiune la interogarea „Id(Vds)_Plot” din registrul de lucru." type="5" refreshedVersion="8" background="1" saveData="1">
    <dbPr connection="Provider=Microsoft.Mashup.OleDb.1;Data Source=$Workbook$;Location=Id(Vds)_Plot;Extended Properties=&quot;&quot;" command="SELECT * FROM [Id(Vds)_Plot]"/>
  </connection>
  <connection id="9" xr16:uid="{7F8DD8C0-F64D-4CBE-A77E-220A04C41613}" keepAlive="1" name="Interogare - Id(Vds)_Plot_Spectre_GPDK" description="Conexiune la interogarea „Id(Vds)_Plot_Spectre_GPDK” din registrul de lucru." type="5" refreshedVersion="8" background="1" saveData="1">
    <dbPr connection="Provider=Microsoft.Mashup.OleDb.1;Data Source=$Workbook$;Location=Id(Vds)_Plot_Spectre_GPDK;Extended Properties=&quot;&quot;" command="SELECT * FROM [Id(Vds)_Plot_Spectre_GPDK]"/>
  </connection>
  <connection id="10" xr16:uid="{730C89A9-EB84-4581-80E9-A51084AAEAA8}" keepAlive="1" name="Interogare - Id(Vds)_Plot_Spectre_PTM" description="Conexiune la interogarea „Id(Vds)_Plot_Spectre_PTM” din registrul de lucru." type="5" refreshedVersion="8" background="1" saveData="1">
    <dbPr connection="Provider=Microsoft.Mashup.OleDb.1;Data Source=$Workbook$;Location=Id(Vds)_Plot_Spectre_PTM;Extended Properties=&quot;&quot;" command="SELECT * FROM [Id(Vds)_Plot_Spectre_PTM]"/>
  </connection>
  <connection id="11" xr16:uid="{4DD4825B-90AF-4A58-951E-FC23DD64D72B}" keepAlive="1" name="Interogare - Id(Vds)_Plot_Spectre_SAED14" description="Conexiune la interogarea „Id(Vds)_Plot_Spectre_SAED14” din registrul de lucru." type="5" refreshedVersion="8" background="1" saveData="1">
    <dbPr connection="Provider=Microsoft.Mashup.OleDb.1;Data Source=$Workbook$;Location=Id(Vds)_Plot_Spectre_SAED14;Extended Properties=&quot;&quot;" command="SELECT * FROM [Id(Vds)_Plot_Spectre_SAED14]"/>
  </connection>
  <connection id="12" xr16:uid="{C55FD32B-4B05-40C6-A79A-95FA0F4FC42A}" keepAlive="1" name="Interogare - Id(Vsd)_Plot_Spectre_GPDK" description="Conexiune la interogarea „Id(Vsd)_Plot_Spectre_GPDK” din registrul de lucru." type="5" refreshedVersion="8" background="1" saveData="1">
    <dbPr connection="Provider=Microsoft.Mashup.OleDb.1;Data Source=$Workbook$;Location=Id(Vsd)_Plot_Spectre_GPDK;Extended Properties=&quot;&quot;" command="SELECT * FROM [Id(Vsd)_Plot_Spectre_GPDK]"/>
  </connection>
  <connection id="13" xr16:uid="{79266E07-9730-4866-AAC4-368B9877DF13}" keepAlive="1" name="Interogare - Id(Vsd)_Plot_Spectre_PTM" description="Conexiune la interogarea „Id(Vsd)_Plot_Spectre_PTM” din registrul de lucru." type="5" refreshedVersion="8" background="1" saveData="1">
    <dbPr connection="Provider=Microsoft.Mashup.OleDb.1;Data Source=$Workbook$;Location=Id(Vsd)_Plot_Spectre_PTM;Extended Properties=&quot;&quot;" command="SELECT * FROM [Id(Vsd)_Plot_Spectre_PTM]"/>
  </connection>
  <connection id="14" xr16:uid="{A8A4FBF2-F699-44A4-9ADC-D0C7EC2FC0A0}" keepAlive="1" name="Interogare - Id(Vsd)_Plot_Spectre_SAED14" description="Conexiune la interogarea „Id(Vsd)_Plot_Spectre_SAED14” din registrul de lucru." type="5" refreshedVersion="8" background="1" saveData="1">
    <dbPr connection="Provider=Microsoft.Mashup.OleDb.1;Data Source=$Workbook$;Location=Id(Vsd)_Plot_Spectre_SAED14;Extended Properties=&quot;&quot;" command="SELECT * FROM [Id(Vsd)_Plot_Spectre_SAED14]"/>
  </connection>
  <connection id="15" xr16:uid="{F781F35D-2893-4147-9329-1D6939AD76DA}" keepAlive="1" name="Interogare - Id_wrt_Vds_DataPath" description="Conexiune la interogarea „Id_wrt_Vds_DataPath” din registrul de lucru." type="5" refreshedVersion="8" background="1" saveData="1">
    <dbPr connection="Provider=Microsoft.Mashup.OleDb.1;Data Source=$Workbook$;Location=Id_wrt_Vds_DataPath;Extended Properties=&quot;&quot;" command="SELECT * FROM [Id_wrt_Vds_DataPath]"/>
  </connection>
  <connection id="16" xr16:uid="{24BCFA0B-659B-4B31-B136-0AB306ECBF0A}" keepAlive="1" name="Interogare - K_and_VT0" description="Conexiune la interogarea „K_and_VT0” din registrul de lucru." type="5" refreshedVersion="8" background="1" saveData="1">
    <dbPr connection="Provider=Microsoft.Mashup.OleDb.1;Data Source=$Workbook$;Location=K_and_VT0;Extended Properties=&quot;&quot;" command="SELECT * FROM [K_and_VT0]"/>
  </connection>
  <connection id="17" xr16:uid="{0A13F6B9-AA4A-4299-AC69-6BCF86B6EBD7}" keepAlive="1" name="Interogare - Lambda" description="Conexiune la interogarea „Lambda” din registrul de lucru." type="5" refreshedVersion="8" background="1" saveData="1">
    <dbPr connection="Provider=Microsoft.Mashup.OleDb.1;Data Source=$Workbook$;Location=Lambda;Extended Properties=&quot;&quot;" command="SELECT * FROM [Lambda]"/>
  </connection>
  <connection id="18" xr16:uid="{F8A6F64D-D5D6-4FC8-83C8-463CE9717903}" keepAlive="1" name="Interogare - Putty_Path" description="Conexiune la interogarea „Putty_Path” din registrul de lucru." type="5" refreshedVersion="8" background="1" saveData="1">
    <dbPr connection="Provider=Microsoft.Mashup.OleDb.1;Data Source=$Workbook$;Location=Putty_Path;Extended Properties=&quot;&quot;" command="SELECT * FROM [Putty_Path]"/>
  </connection>
  <connection id="19" xr16:uid="{08AA76F5-2A5F-4448-9B54-23B00159B095}" keepAlive="1" name="Interogare - Spectre_Id_wrt_Vds_NMOS_GPDK" description="Conexiune la interogarea „Spectre_Id_wrt_Vds_NMOS_GPDK” din registrul de lucru." type="5" refreshedVersion="8" background="1" saveData="1">
    <dbPr connection="Provider=Microsoft.Mashup.OleDb.1;Data Source=$Workbook$;Location=Spectre_Id_wrt_Vds_NMOS_GPDK;Extended Properties=&quot;&quot;" command="SELECT * FROM [Spectre_Id_wrt_Vds_NMOS_GPDK]"/>
  </connection>
  <connection id="20" xr16:uid="{B788625E-424B-45B8-8C49-9FC6523463B1}" keepAlive="1" name="Interogare - Spectre_Id_wrt_Vds_NMOS_PTM" description="Conexiune la interogarea „Spectre_Id_wrt_Vds_NMOS_PTM” din registrul de lucru." type="5" refreshedVersion="8" background="1" saveData="1">
    <dbPr connection="Provider=Microsoft.Mashup.OleDb.1;Data Source=$Workbook$;Location=Spectre_Id_wrt_Vds_NMOS_PTM;Extended Properties=&quot;&quot;" command="SELECT * FROM [Spectre_Id_wrt_Vds_NMOS_PTM]"/>
  </connection>
  <connection id="21" xr16:uid="{8BB6C683-54F7-4E5F-9946-7E399611298B}" keepAlive="1" name="Interogare - Spectre_Id_wrt_Vds_NMOS_SAED14" description="Conexiune la interogarea „Spectre_Id_wrt_Vds_NMOS_SAED14” din registrul de lucru." type="5" refreshedVersion="8" background="1" saveData="1">
    <dbPr connection="Provider=Microsoft.Mashup.OleDb.1;Data Source=$Workbook$;Location=Spectre_Id_wrt_Vds_NMOS_SAED14;Extended Properties=&quot;&quot;" command="SELECT * FROM [Spectre_Id_wrt_Vds_NMOS_SAED14]"/>
  </connection>
  <connection id="22" xr16:uid="{EE9DAC91-3E2B-43D9-9FCD-4F2EB17BFA22}" keepAlive="1" name="Interogare - Spectre_Id_wrt_Vds_PMOS_GPDK" description="Conexiune la interogarea „Spectre_Id_wrt_Vds_PMOS_GPDK” din registrul de lucru." type="5" refreshedVersion="8" background="1" saveData="1">
    <dbPr connection="Provider=Microsoft.Mashup.OleDb.1;Data Source=$Workbook$;Location=Spectre_Id_wrt_Vds_PMOS_GPDK;Extended Properties=&quot;&quot;" command="SELECT * FROM [Spectre_Id_wrt_Vds_PMOS_GPDK]"/>
  </connection>
  <connection id="23" xr16:uid="{73376C19-F687-429F-A646-0A660DE8C07C}" keepAlive="1" name="Interogare - Spectre_Id_wrt_Vds_PMOS_PTM" description="Conexiune la interogarea „Spectre_Id_wrt_Vds_PMOS_PTM” din registrul de lucru." type="5" refreshedVersion="8" background="1" saveData="1">
    <dbPr connection="Provider=Microsoft.Mashup.OleDb.1;Data Source=$Workbook$;Location=Spectre_Id_wrt_Vds_PMOS_PTM;Extended Properties=&quot;&quot;" command="SELECT * FROM [Spectre_Id_wrt_Vds_PMOS_PTM]"/>
  </connection>
  <connection id="24" xr16:uid="{9C2C7BF0-5DE8-4666-BB33-D585B3898475}" keepAlive="1" name="Interogare - Spectre_Id_wrt_Vds_PMOS_SAED14" description="Conexiune la interogarea „Spectre_Id_wrt_Vds_PMOS_SAED14” din registrul de lucru." type="5" refreshedVersion="8" background="1" saveData="1">
    <dbPr connection="Provider=Microsoft.Mashup.OleDb.1;Data Source=$Workbook$;Location=Spectre_Id_wrt_Vds_PMOS_SAED14;Extended Properties=&quot;&quot;" command="SELECT * FROM [Spectre_Id_wrt_Vds_PMOS_SAED14]"/>
  </connection>
  <connection id="25" xr16:uid="{E8D5CADF-6DEB-49CA-9770-570B5AFF5914}" keepAlive="1" name="Interogare - Spectre_Sqrt_Id_wrt_Vgs_NMOS_GPDK" description="Conexiune la interogarea „Spectre_Sqrt_Id_wrt_Vgs_NMOS_GPDK” din registrul de lucru." type="5" refreshedVersion="8" background="1" saveData="1">
    <dbPr connection="Provider=Microsoft.Mashup.OleDb.1;Data Source=$Workbook$;Location=Spectre_Sqrt_Id_wrt_Vgs_NMOS_GPDK;Extended Properties=&quot;&quot;" command="SELECT * FROM [Spectre_Sqrt_Id_wrt_Vgs_NMOS_GPDK]"/>
  </connection>
  <connection id="26" xr16:uid="{AEC8FFAD-E46A-445D-B3CF-3594C28C470B}" keepAlive="1" name="Interogare - Spectre_Sqrt_Id_wrt_Vgs_NMOS_PTM" description="Conexiune la interogarea „Spectre_Sqrt_Id_wrt_Vgs_NMOS_PTM” din registrul de lucru." type="5" refreshedVersion="8" background="1" saveData="1">
    <dbPr connection="Provider=Microsoft.Mashup.OleDb.1;Data Source=$Workbook$;Location=Spectre_Sqrt_Id_wrt_Vgs_NMOS_PTM;Extended Properties=&quot;&quot;" command="SELECT * FROM [Spectre_Sqrt_Id_wrt_Vgs_NMOS_PTM]"/>
  </connection>
  <connection id="27" xr16:uid="{4230F23A-4D40-46EA-A639-E99C7564878C}" keepAlive="1" name="Interogare - Spectre_Sqrt_Id_wrt_Vgs_NMOS_SAED14" description="Conexiune la interogarea „Spectre_Sqrt_Id_wrt_Vgs_NMOS_SAED14” din registrul de lucru." type="5" refreshedVersion="8" background="1" saveData="1">
    <dbPr connection="Provider=Microsoft.Mashup.OleDb.1;Data Source=$Workbook$;Location=Spectre_Sqrt_Id_wrt_Vgs_NMOS_SAED14;Extended Properties=&quot;&quot;" command="SELECT * FROM [Spectre_Sqrt_Id_wrt_Vgs_NMOS_SAED14]"/>
  </connection>
  <connection id="28" xr16:uid="{D135487A-B8B4-4324-854F-A94D7886EA7A}" keepAlive="1" name="Interogare - Spectre_Sqrt_Id_wrt_Vgs_PMOS_GPDK" description="Conexiune la interogarea „Spectre_Sqrt_Id_wrt_Vgs_PMOS_GPDK” din registrul de lucru." type="5" refreshedVersion="8" background="1" saveData="1">
    <dbPr connection="Provider=Microsoft.Mashup.OleDb.1;Data Source=$Workbook$;Location=Spectre_Sqrt_Id_wrt_Vgs_PMOS_GPDK;Extended Properties=&quot;&quot;" command="SELECT * FROM [Spectre_Sqrt_Id_wrt_Vgs_PMOS_GPDK]"/>
  </connection>
  <connection id="29" xr16:uid="{7F21C236-F823-4B14-BCC6-832146414B56}" keepAlive="1" name="Interogare - Spectre_Sqrt_Id_wrt_Vgs_PMOS_PTM" description="Conexiune la interogarea „Spectre_Sqrt_Id_wrt_Vgs_PMOS_PTM” din registrul de lucru." type="5" refreshedVersion="8" background="1" saveData="1">
    <dbPr connection="Provider=Microsoft.Mashup.OleDb.1;Data Source=$Workbook$;Location=Spectre_Sqrt_Id_wrt_Vgs_PMOS_PTM;Extended Properties=&quot;&quot;" command="SELECT * FROM [Spectre_Sqrt_Id_wrt_Vgs_PMOS_PTM]"/>
  </connection>
  <connection id="30" xr16:uid="{BA872849-4F2A-4CF8-96A9-44A592127BF6}" keepAlive="1" name="Interogare - Spectre_Sqrt_Id_wrt_Vgs_PMOS_SAED14" description="Conexiune la interogarea „Spectre_Sqrt_Id_wrt_Vgs_PMOS_SAED14” din registrul de lucru." type="5" refreshedVersion="8" background="1" saveData="1">
    <dbPr connection="Provider=Microsoft.Mashup.OleDb.1;Data Source=$Workbook$;Location=Spectre_Sqrt_Id_wrt_Vgs_PMOS_SAED14;Extended Properties=&quot;&quot;" command="SELECT * FROM [Spectre_Sqrt_Id_wrt_Vgs_PMOS_SAED14]"/>
  </connection>
  <connection id="31" xr16:uid="{A79A0461-3DA4-4293-BA36-83236CA8B8D1}" keepAlive="1" name="Interogare - Sqrt(Id(Vgs))" description="Conexiune la interogarea „Sqrt(Id(Vgs))” din registrul de lucru." type="5" refreshedVersion="8" background="1" saveData="1">
    <dbPr connection="Provider=Microsoft.Mashup.OleDb.1;Data Source=$Workbook$;Location=Sqrt(Id(Vgs));Extended Properties=&quot;&quot;" command="SELECT * FROM [Sqrt(Id(Vgs))]"/>
  </connection>
  <connection id="32" xr16:uid="{56C0E006-DA1C-4E19-A2B6-36A83F990EFE}" keepAlive="1" name="Interogare - Sqrt(Id(Vgs))_Plot" description="Conexiune la interogarea „Sqrt(Id(Vgs))_Plot” din registrul de lucru." type="5" refreshedVersion="8" background="1" saveData="1">
    <dbPr connection="Provider=Microsoft.Mashup.OleDb.1;Data Source=$Workbook$;Location=Sqrt(Id(Vgs))_Plot;Extended Properties=&quot;&quot;" command="SELECT * FROM [Sqrt(Id(Vgs))_Plot]"/>
  </connection>
  <connection id="33" xr16:uid="{FB7B0FB8-62A6-414E-9591-FF5DFF6A128F}" keepAlive="1" name="Interogare - Sqrt(Id(Vgs))_Plot_Spectre_GPDK" description="Conexiune la interogarea „Sqrt(Id(Vgs))_Plot_Spectre_GPDK” din registrul de lucru." type="5" refreshedVersion="8" background="1" saveData="1">
    <dbPr connection="Provider=Microsoft.Mashup.OleDb.1;Data Source=$Workbook$;Location=Sqrt(Id(Vgs))_Plot_Spectre_GPDK;Extended Properties=&quot;&quot;" command="SELECT * FROM [Sqrt(Id(Vgs))_Plot_Spectre_GPDK]"/>
  </connection>
  <connection id="34" xr16:uid="{3D306D96-AF06-4A11-B115-D4576F4D9E21}" keepAlive="1" name="Interogare - Sqrt(Id(Vgs))_Plot_Spectre_PTM" description="Conexiune la interogarea „Sqrt(Id(Vgs))_Plot_Spectre_PTM” din registrul de lucru." type="5" refreshedVersion="8" background="1" saveData="1">
    <dbPr connection="Provider=Microsoft.Mashup.OleDb.1;Data Source=$Workbook$;Location=Sqrt(Id(Vgs))_Plot_Spectre_PTM;Extended Properties=&quot;&quot;" command="SELECT * FROM [Sqrt(Id(Vgs))_Plot_Spectre_PTM]"/>
  </connection>
  <connection id="35" xr16:uid="{BDEEEE0D-D81D-4926-BA72-F9B28582F362}" keepAlive="1" name="Interogare - Sqrt(Id(Vgs))_Plot_Spectre_SAED14" description="Conexiune la interogarea „Sqrt(Id(Vgs))_Plot_Spectre_SAED14” din registrul de lucru." type="5" refreshedVersion="8" background="1" saveData="1">
    <dbPr connection="Provider=Microsoft.Mashup.OleDb.1;Data Source=$Workbook$;Location=Sqrt(Id(Vgs))_Plot_Spectre_SAED14;Extended Properties=&quot;&quot;" command="SELECT * FROM [Sqrt(Id(Vgs))_Plot_Spectre_SAED14]"/>
  </connection>
  <connection id="36" xr16:uid="{808AA649-C896-479E-A67F-E4FCA57AB1D1}" keepAlive="1" name="Interogare - Sqrt(Id(Vsg))_Plot_Spectre_GPDK" description="Conexiune la interogarea „Sqrt(Id(Vsg))_Plot_Spectre_GPDK” din registrul de lucru." type="5" refreshedVersion="8" background="1" saveData="1">
    <dbPr connection="Provider=Microsoft.Mashup.OleDb.1;Data Source=$Workbook$;Location=Sqrt(Id(Vsg))_Plot_Spectre_GPDK;Extended Properties=&quot;&quot;" command="SELECT * FROM [Sqrt(Id(Vsg))_Plot_Spectre_GPDK]"/>
  </connection>
  <connection id="37" xr16:uid="{79362170-B049-46DE-8013-25D8FB6D795D}" keepAlive="1" name="Interogare - Sqrt(Id(Vsg))_Plot_Spectre_PTM" description="Conexiune la interogarea „Sqrt(Id(Vsg))_Plot_Spectre_PTM” din registrul de lucru." type="5" refreshedVersion="8" background="1" saveData="1">
    <dbPr connection="Provider=Microsoft.Mashup.OleDb.1;Data Source=$Workbook$;Location=Sqrt(Id(Vsg))_Plot_Spectre_PTM;Extended Properties=&quot;&quot;" command="SELECT * FROM [Sqrt(Id(Vsg))_Plot_Spectre_PTM]"/>
  </connection>
  <connection id="38" xr16:uid="{9459DEFD-BA59-46C2-A9E3-3CA29BEA2DCD}" keepAlive="1" name="Interogare - Sqrt(Id(Vsg))_Plot_Spectre_SAED14" description="Conexiune la interogarea „Sqrt(Id(Vsg))_Plot_Spectre_SAED14” din registrul de lucru." type="5" refreshedVersion="8" background="1" saveData="1">
    <dbPr connection="Provider=Microsoft.Mashup.OleDb.1;Data Source=$Workbook$;Location=Sqrt(Id(Vsg))_Plot_Spectre_SAED14;Extended Properties=&quot;&quot;" command="SELECT * FROM [Sqrt(Id(Vsg))_Plot_Spectre_SAED14]"/>
  </connection>
  <connection id="39" xr16:uid="{C2C1D153-1512-49F1-B36D-BB9257744D21}" keepAlive="1" name="Interogare - Sqrt_Id_wrt_Vgs_DataPath" description="Conexiune la interogarea „Sqrt_Id_wrt_Vgs_DataPath” din registrul de lucru." type="5" refreshedVersion="8" background="1" saveData="1">
    <dbPr connection="Provider=Microsoft.Mashup.OleDb.1;Data Source=$Workbook$;Location=Sqrt_Id_wrt_Vgs_DataPath;Extended Properties=&quot;&quot;" command="SELECT * FROM [Sqrt_Id_wrt_Vgs_DataPath]"/>
  </connection>
  <connection id="40" xr16:uid="{6F4FAC43-5357-492F-A03F-3A5A36CD6FE4}" keepAlive="1" name="Interogare - Vds_sat" description="Conexiune la interogarea „Vds_sat” din registrul de lucru." type="5" refreshedVersion="8" background="1" saveData="1">
    <dbPr connection="Provider=Microsoft.Mashup.OleDb.1;Data Source=$Workbook$;Location=Vds_sat;Extended Properties=&quot;&quot;" command="SELECT * FROM [Vds_sat]"/>
  </connection>
  <connection id="41" xr16:uid="{ED3FE5F6-7643-4B0D-8012-F553E3C4A7A4}" keepAlive="1" name="Interogare - Vds_sat_DataPath" description="Conexiune la interogarea „Vds_sat_DataPath” din registrul de lucru." type="5" refreshedVersion="8" background="1" saveData="1">
    <dbPr connection="Provider=Microsoft.Mashup.OleDb.1;Data Source=$Workbook$;Location=Vds_sat_DataPath;Extended Properties=&quot;&quot;" command="SELECT * FROM [Vds_sat_DataPath]"/>
  </connection>
  <connection id="42" xr16:uid="{46B2179A-5D33-479D-9DE9-C388078F51AE}" keepAlive="1" name="Interogare - Vt(Vbs)" description="Conexiune la interogarea „Vt(Vbs)” din registrul de lucru." type="5" refreshedVersion="8" background="1" saveData="1">
    <dbPr connection="Provider=Microsoft.Mashup.OleDb.1;Data Source=$Workbook$;Location=Vt(Vbs);Extended Properties=&quot;&quot;" command="SELECT * FROM [Vt(Vbs)]"/>
  </connection>
  <connection id="43" xr16:uid="{0419F3D2-7842-44C5-8652-4E1A17BE33F8}" keepAlive="1" name="Interogare - Vt_wrt_Vbs_DataPath" description="Conexiune la interogarea „Vt_wrt_Vbs_DataPath” din registrul de lucru." type="5" refreshedVersion="8" background="1" saveData="1">
    <dbPr connection="Provider=Microsoft.Mashup.OleDb.1;Data Source=$Workbook$;Location=Vt_wrt_Vbs_DataPath;Extended Properties=&quot;&quot;" command="SELECT * FROM [Vt_wrt_Vbs_DataPath]"/>
  </connection>
  <connection id="44" xr16:uid="{92527982-D5CE-4D24-A2FC-B97B45CF5585}" keepAlive="1" name="Interogare - VT0_and_Vds_coeffs" description="Conexiune la interogarea „VT0_and_Vds_coeffs” din registrul de lucru." type="5" refreshedVersion="8" background="1" saveData="1">
    <dbPr connection="Provider=Microsoft.Mashup.OleDb.1;Data Source=$Workbook$;Location=VT0_and_Vds_coeffs;Extended Properties=&quot;&quot;" command="SELECT * FROM [VT0_and_Vds_coeffs]"/>
  </connection>
  <connection id="45" xr16:uid="{4EF6E4BB-E71F-4822-85BD-E95FF14A68EC}" keepAlive="1" name="Interogare - VT0_and_Vds_coeffs_2" description="Conexiune la interogarea „VT0_and_Vds_coeffs_2” din registrul de lucru." type="5" refreshedVersion="8" background="1" saveData="1">
    <dbPr connection="Provider=Microsoft.Mashup.OleDb.1;Data Source=$Workbook$;Location=VT0_and_Vds_coeffs_2;Extended Properties=&quot;&quot;" command="SELECT * FROM [VT0_and_Vds_coeffs_2]"/>
  </connection>
  <connection id="46" xr16:uid="{93D22F6D-4C37-40E8-A1CD-5C1C3C734D92}" keepAlive="1" name="Interogare - VT0_and_Vds_coeffs_3" description="Conexiune la interogarea „VT0_and_Vds_coeffs_3” din registrul de lucru." type="5" refreshedVersion="8" background="1" saveData="1">
    <dbPr connection="Provider=Microsoft.Mashup.OleDb.1;Data Source=$Workbook$;Location=VT0_and_Vds_coeffs_3;Extended Properties=&quot;&quot;" command="SELECT * FROM [VT0_and_Vds_coeffs_3]"/>
  </connection>
  <connection id="47" xr16:uid="{C976FAAA-A755-41BB-98C1-90628ED0A0A2}" keepAlive="1" name="Interogare - VT0_and_Vds_coeffs_4" description="Conexiune la interogarea „VT0_and_Vds_coeffs_4” din registrul de lucru." type="5" refreshedVersion="8" background="1" saveData="1">
    <dbPr connection="Provider=Microsoft.Mashup.OleDb.1;Data Source=$Workbook$;Location=VT0_and_Vds_coeffs_4;Extended Properties=&quot;&quot;" command="SELECT * FROM [VT0_and_Vds_coeffs_4]"/>
  </connection>
  <connection id="48" xr16:uid="{5CCF98CD-92B8-4AF6-8863-D23C0530D538}" keepAlive="1" name="Interogare - VT0_and_Vds_coeffs_5" description="Conexiune la interogarea „VT0_and_Vds_coeffs_5” din registrul de lucru." type="5" refreshedVersion="8" background="1" saveData="1">
    <dbPr connection="Provider=Microsoft.Mashup.OleDb.1;Data Source=$Workbook$;Location=VT0_and_Vds_coeffs_5;Extended Properties=&quot;&quot;" command="SELECT * FROM [VT0_and_Vds_coeffs_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<sst xmlns="http://schemas.openxmlformats.org/spreadsheetml/2006/main" count="391" uniqueCount="150">
  <si>
    <t>Vgs</t>
  </si>
  <si>
    <t>Vds_sat</t>
  </si>
  <si>
    <t>Vds_at_Vgs_0.4V</t>
  </si>
  <si>
    <t>Id</t>
  </si>
  <si>
    <t>Vds_at_Vgs_0.5V</t>
  </si>
  <si>
    <t>Id_1</t>
  </si>
  <si>
    <t>Vds_at_Vgs_0.6V</t>
  </si>
  <si>
    <t>Id_2</t>
  </si>
  <si>
    <t>Vds_at_Vgs_0.7V</t>
  </si>
  <si>
    <t>Id_3</t>
  </si>
  <si>
    <t>Vds_at_Vgs_0.8V</t>
  </si>
  <si>
    <t>Id_4</t>
  </si>
  <si>
    <t>Vgs_at_Vds_0.4V</t>
  </si>
  <si>
    <t>Square_root_of_Id</t>
  </si>
  <si>
    <t>Vgs_at_Vds_0.5V</t>
  </si>
  <si>
    <t>Square_root_of_Id_1</t>
  </si>
  <si>
    <t>Vgs_at_Vds_0.6V</t>
  </si>
  <si>
    <t>Square_root_of_Id_2</t>
  </si>
  <si>
    <t>Vgs_at_Vds_0.7V</t>
  </si>
  <si>
    <t>Square_root_of_Id_3</t>
  </si>
  <si>
    <t>Vgs_at_Vds_0.8V</t>
  </si>
  <si>
    <t>Square_root_of_Id_4</t>
  </si>
  <si>
    <t>↓[μA]↓</t>
  </si>
  <si>
    <t>↓[mA]↓</t>
  </si>
  <si>
    <r>
      <t>K [</t>
    </r>
    <r>
      <rPr>
        <sz val="11"/>
        <color theme="1"/>
        <rFont val="Aptos Narrow"/>
        <family val="2"/>
      </rPr>
      <t>μ</t>
    </r>
    <r>
      <rPr>
        <sz val="11"/>
        <color theme="1"/>
        <rFont val="Calibri"/>
        <family val="2"/>
      </rPr>
      <t>A/V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]</t>
    </r>
  </si>
  <si>
    <t>↓[mV]↓</t>
  </si>
  <si>
    <t xml:space="preserve">m </t>
  </si>
  <si>
    <r>
      <t>Id</t>
    </r>
    <r>
      <rPr>
        <vertAlign val="subscript"/>
        <sz val="11"/>
        <color theme="1"/>
        <rFont val="Calibri"/>
        <family val="2"/>
        <charset val="238"/>
        <scheme val="minor"/>
      </rPr>
      <t>0</t>
    </r>
    <r>
      <rPr>
        <sz val="11"/>
        <color theme="1"/>
        <rFont val="Calibri"/>
        <family val="2"/>
        <charset val="238"/>
        <scheme val="minor"/>
      </rPr>
      <t xml:space="preserve"> </t>
    </r>
  </si>
  <si>
    <r>
      <rPr>
        <sz val="11"/>
        <color theme="1"/>
        <rFont val="Aptos Narrow"/>
        <family val="2"/>
      </rPr>
      <t>↓</t>
    </r>
    <r>
      <rPr>
        <sz val="11"/>
        <color theme="1"/>
        <rFont val="Calibri"/>
        <family val="2"/>
        <scheme val="minor"/>
      </rPr>
      <t>[mA/V]</t>
    </r>
    <r>
      <rPr>
        <sz val="11"/>
        <color theme="1"/>
        <rFont val="Aptos Narrow"/>
        <family val="2"/>
      </rPr>
      <t>↓</t>
    </r>
  </si>
  <si>
    <r>
      <rPr>
        <sz val="11"/>
        <color theme="1"/>
        <rFont val="Aptos Narrow"/>
        <family val="2"/>
      </rPr>
      <t>↓</t>
    </r>
    <r>
      <rPr>
        <sz val="11"/>
        <color theme="1"/>
        <rFont val="Calibri"/>
        <family val="2"/>
        <scheme val="minor"/>
      </rPr>
      <t>[μA]</t>
    </r>
    <r>
      <rPr>
        <sz val="11"/>
        <color theme="1"/>
        <rFont val="Aptos Narrow"/>
        <family val="2"/>
      </rPr>
      <t>↓</t>
    </r>
  </si>
  <si>
    <r>
      <rPr>
        <sz val="11"/>
        <color theme="1"/>
        <rFont val="Aptos Narrow"/>
        <family val="2"/>
      </rPr>
      <t>↓</t>
    </r>
    <r>
      <rPr>
        <sz val="11"/>
        <color theme="1"/>
        <rFont val="Calibri"/>
        <family val="2"/>
        <scheme val="minor"/>
      </rPr>
      <t>[V-1]</t>
    </r>
    <r>
      <rPr>
        <sz val="11"/>
        <color theme="1"/>
        <rFont val="Aptos Narrow"/>
        <family val="2"/>
      </rPr>
      <t>↓</t>
    </r>
  </si>
  <si>
    <t>λ</t>
  </si>
  <si>
    <t>a</t>
  </si>
  <si>
    <t>b</t>
  </si>
  <si>
    <t>c</t>
  </si>
  <si>
    <t>d</t>
  </si>
  <si>
    <r>
      <rPr>
        <sz val="11"/>
        <color theme="1"/>
        <rFont val="Aptos Narrow"/>
        <family val="2"/>
      </rPr>
      <t>λ</t>
    </r>
    <r>
      <rPr>
        <sz val="11"/>
        <color theme="1"/>
        <rFont val="Calibri"/>
        <family val="2"/>
      </rPr>
      <t>(Vgs) = a</t>
    </r>
    <r>
      <rPr>
        <sz val="11"/>
        <color theme="1"/>
        <rFont val="Aptos Narrow"/>
        <family val="2"/>
      </rPr>
      <t>·</t>
    </r>
    <r>
      <rPr>
        <sz val="11"/>
        <color theme="1"/>
        <rFont val="Calibri"/>
        <family val="2"/>
      </rPr>
      <t>Vgs</t>
    </r>
    <r>
      <rPr>
        <vertAlign val="super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 + b</t>
    </r>
    <r>
      <rPr>
        <sz val="11"/>
        <color theme="1"/>
        <rFont val="Aptos Narrow"/>
        <family val="2"/>
      </rPr>
      <t>·</t>
    </r>
    <r>
      <rPr>
        <sz val="11"/>
        <color theme="1"/>
        <rFont val="Calibri"/>
        <family val="2"/>
      </rPr>
      <t>Vgs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+ c</t>
    </r>
    <r>
      <rPr>
        <sz val="11"/>
        <color theme="1"/>
        <rFont val="Aptos Narrow"/>
        <family val="2"/>
      </rPr>
      <t>·</t>
    </r>
    <r>
      <rPr>
        <sz val="11"/>
        <color theme="1"/>
        <rFont val="Calibri"/>
        <family val="2"/>
      </rPr>
      <t>Vgs + d</t>
    </r>
  </si>
  <si>
    <t>a, b, c &amp; d are empirical constants (see the plot on the right side)</t>
  </si>
  <si>
    <r>
      <t>Vds_sat(Vgs) = a</t>
    </r>
    <r>
      <rPr>
        <sz val="11"/>
        <color theme="1"/>
        <rFont val="Aptos Narrow"/>
        <family val="2"/>
      </rPr>
      <t>·Vgs + b</t>
    </r>
  </si>
  <si>
    <t>a &amp; b are empirical constants (see the plot on the right side)</t>
  </si>
  <si>
    <t>Vgs [mV]</t>
  </si>
  <si>
    <t>Vds_Coef</t>
  </si>
  <si>
    <t>VT0 [mV]</t>
  </si>
  <si>
    <t>VT0_Coef</t>
  </si>
  <si>
    <r>
      <t>f</t>
    </r>
    <r>
      <rPr>
        <vertAlign val="subscript"/>
        <sz val="11"/>
        <color theme="1"/>
        <rFont val="Calibri"/>
        <family val="2"/>
        <scheme val="minor"/>
      </rPr>
      <t>VT0</t>
    </r>
    <r>
      <rPr>
        <sz val="11"/>
        <color theme="1"/>
        <rFont val="Calibri"/>
        <family val="2"/>
        <scheme val="minor"/>
      </rPr>
      <t>(Vgs) = a</t>
    </r>
    <r>
      <rPr>
        <sz val="11"/>
        <color theme="1"/>
        <rFont val="Aptos Narrow"/>
        <family val="2"/>
      </rPr>
      <t>·Vgs + b</t>
    </r>
  </si>
  <si>
    <r>
      <t>f</t>
    </r>
    <r>
      <rPr>
        <vertAlign val="subscript"/>
        <sz val="11"/>
        <color theme="1"/>
        <rFont val="Calibri"/>
        <family val="2"/>
      </rPr>
      <t>Vds</t>
    </r>
    <r>
      <rPr>
        <sz val="11"/>
        <color theme="1"/>
        <rFont val="Calibri"/>
        <family val="2"/>
      </rPr>
      <t>(Vgs) = a</t>
    </r>
    <r>
      <rPr>
        <sz val="11"/>
        <color theme="1"/>
        <rFont val="Aptos Narrow"/>
        <family val="2"/>
      </rPr>
      <t>·</t>
    </r>
    <r>
      <rPr>
        <sz val="11"/>
        <color theme="1"/>
        <rFont val="Calibri"/>
        <family val="2"/>
      </rPr>
      <t>Vgs</t>
    </r>
    <r>
      <rPr>
        <vertAlign val="super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 + b</t>
    </r>
    <r>
      <rPr>
        <sz val="11"/>
        <color theme="1"/>
        <rFont val="Aptos Narrow"/>
        <family val="2"/>
      </rPr>
      <t>·</t>
    </r>
    <r>
      <rPr>
        <sz val="11"/>
        <color theme="1"/>
        <rFont val="Calibri"/>
        <family val="2"/>
      </rPr>
      <t>Vgs + c</t>
    </r>
  </si>
  <si>
    <t>a, b &amp; c are empirical constants (see the plot on the right side)</t>
  </si>
  <si>
    <t>Neg_Vds_Coef</t>
  </si>
  <si>
    <t>Square_root_of_Id_at_Vbs_0.8V</t>
  </si>
  <si>
    <t>Vgs_1</t>
  </si>
  <si>
    <t>Square_root_of_Id_at_Vbs_0.6V</t>
  </si>
  <si>
    <t>Vgs_2</t>
  </si>
  <si>
    <t>Square_root_of_Id_at_Vbs_0.4V</t>
  </si>
  <si>
    <t>Vgs_3</t>
  </si>
  <si>
    <t>Square_root_of_Id_at_Vbs_0.2V</t>
  </si>
  <si>
    <t>Vgs_4</t>
  </si>
  <si>
    <t>Square_root_of_Id_at_Vbs_0V</t>
  </si>
  <si>
    <t>γ</t>
  </si>
  <si>
    <t>Vds</t>
  </si>
  <si>
    <t>Id_at_Vgs_0.4V</t>
  </si>
  <si>
    <t>Id_at_Vgs_0.5V</t>
  </si>
  <si>
    <t>Id_at_Vgs_0.6V</t>
  </si>
  <si>
    <t>Id_at_Vgs_0.7V</t>
  </si>
  <si>
    <t>Id_at_Vgs_0.8V</t>
  </si>
  <si>
    <t>Our_model</t>
  </si>
  <si>
    <t>Vds_sat_coeffs</t>
  </si>
  <si>
    <t>VT0_coeffs</t>
  </si>
  <si>
    <t>Vds_coeffs</t>
  </si>
  <si>
    <t>Lambda_coeffs</t>
  </si>
  <si>
    <t>Parameters:</t>
  </si>
  <si>
    <t>α</t>
  </si>
  <si>
    <t>Vgs [V]</t>
  </si>
  <si>
    <t>VT0 [V]</t>
  </si>
  <si>
    <t>Spline_Interpolation</t>
  </si>
  <si>
    <t>Coeffs</t>
  </si>
  <si>
    <r>
      <t>K [μA/V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238"/>
        <scheme val="minor"/>
      </rPr>
      <t>]</t>
    </r>
  </si>
  <si>
    <t>Square_root_of_Id_at_Vds_0.4V</t>
  </si>
  <si>
    <t>Square_root_of_Id_at_Vds_0.5V</t>
  </si>
  <si>
    <t>Square_root_of_Id_at_Vds_0.6V</t>
  </si>
  <si>
    <t>Square_root_of_Id_at_Vds_0.7V</t>
  </si>
  <si>
    <t>Square_root_of_Id_at_Vds_0.8V</t>
  </si>
  <si>
    <t>Vds [V]</t>
  </si>
  <si>
    <t>Vbs</t>
  </si>
  <si>
    <r>
      <t>VT</t>
    </r>
    <r>
      <rPr>
        <vertAlign val="subscript"/>
        <sz val="11"/>
        <color theme="1"/>
        <rFont val="Calibri"/>
        <family val="2"/>
        <charset val="238"/>
        <scheme val="minor"/>
      </rPr>
      <t>0</t>
    </r>
  </si>
  <si>
    <r>
      <rPr>
        <sz val="11"/>
        <color theme="1"/>
        <rFont val="Aptos Narrow"/>
        <family val="2"/>
      </rPr>
      <t>↓</t>
    </r>
    <r>
      <rPr>
        <sz val="11"/>
        <color theme="1"/>
        <rFont val="Calibri"/>
        <family val="2"/>
        <scheme val="minor"/>
      </rPr>
      <t>[A/V]</t>
    </r>
    <r>
      <rPr>
        <sz val="11"/>
        <color theme="1"/>
        <rFont val="Aptos Narrow"/>
        <family val="2"/>
      </rPr>
      <t>↓</t>
    </r>
  </si>
  <si>
    <r>
      <t>Id</t>
    </r>
    <r>
      <rPr>
        <vertAlign val="subscript"/>
        <sz val="11"/>
        <color theme="1"/>
        <rFont val="Calibri"/>
        <family val="2"/>
        <charset val="238"/>
        <scheme val="minor"/>
      </rPr>
      <t>0</t>
    </r>
  </si>
  <si>
    <t>K</t>
  </si>
  <si>
    <r>
      <rPr>
        <sz val="11"/>
        <color theme="1"/>
        <rFont val="Aptos Narrow"/>
        <family val="2"/>
      </rPr>
      <t>↓</t>
    </r>
    <r>
      <rPr>
        <sz val="11"/>
        <color theme="1"/>
        <rFont val="Calibri"/>
        <family val="2"/>
        <scheme val="minor"/>
      </rPr>
      <t>[μA/V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  <r>
      <rPr>
        <sz val="11"/>
        <color theme="1"/>
        <rFont val="Aptos Narrow"/>
        <family val="2"/>
      </rPr>
      <t>↓</t>
    </r>
  </si>
  <si>
    <t>m</t>
  </si>
  <si>
    <t>Run Spectre</t>
  </si>
  <si>
    <t>Sqrt_Id</t>
  </si>
  <si>
    <t>C:\Users\Alex\Desktop\CAS 2026\FinFET Excel Solver\Id(Vds)</t>
  </si>
  <si>
    <t>C:\Users\Alex\Desktop\CAS 2026\FinFET Excel Solver\Spectre_Id(Vds)_NMOS\Spectre_Id(Vds)_NMOS_GPDK</t>
  </si>
  <si>
    <t>C:\Users\Alex\Desktop\CAS 2026\FinFET Excel Solver\Spectre_Id(Vds)_NMOS\Spectre_Id(Vds)_NMOS_PTM</t>
  </si>
  <si>
    <t>C:\Users\Alex\Desktop\CAS 2026\FinFET Excel Solver\Spectre_Id(Vds)_NMOS\Spectre_Id(Vds)_NMOS_SAED14</t>
  </si>
  <si>
    <t>C:\Users\Alex\Desktop\CAS 2026\FinFET Excel Solver\Spectre_Id(Vds)_PMOS\Spectre_Id(Vds)_PMOS_GPDK</t>
  </si>
  <si>
    <t>C:\Users\Alex\Desktop\CAS 2026\FinFET Excel Solver\Spectre_Id(Vds)_PMOS\Spectre_Id(Vds)_PMOS_PTM</t>
  </si>
  <si>
    <t>C:\Users\Alex\Desktop\CAS 2026\FinFET Excel Solver\Spectre_Id(Vds)_PMOS\Spectre_Id(Vds)_PMOS_SAED14</t>
  </si>
  <si>
    <t>C:\Users\Alex\Desktop\CAS 2026\FinFET Excel Solver\Spectre_Sqrt(Id(Vgs))_NMOS\Spectre_Sqrt(Id(Vgs))_NMOS_GPDK</t>
  </si>
  <si>
    <t>C:\Users\Alex\Desktop\CAS 2026\FinFET Excel Solver\Spectre_Sqrt(Id(Vgs))_NMOS\Spectre_Sqrt(Id(Vgs))_NMOS_PTM</t>
  </si>
  <si>
    <t>C:\Users\Alex\Desktop\CAS 2026\FinFET Excel Solver\Spectre_Sqrt(Id(Vgs))_NMOS\Spectre_Sqrt(Id(Vgs))_NMOS_SAED14</t>
  </si>
  <si>
    <t>C:\Users\Alex\Desktop\CAS 2026\FinFET Excel Solver\Spectre_Sqrt(Id(Vgs))_PMOS\Spectre_Sqrt(Id(Vgs))_PMOS_GPDK</t>
  </si>
  <si>
    <t>C:\Users\Alex\Desktop\CAS 2026\FinFET Excel Solver\Spectre_Sqrt(Id(Vgs))_PMOS\Spectre_Sqrt(Id(Vgs))_PMOS_PTM</t>
  </si>
  <si>
    <t>C:\Users\Alex\Desktop\CAS 2026\FinFET Excel Solver\Spectre_Sqrt(Id(Vgs))_PMOS\Spectre_Sqrt(Id(Vgs))_PMOS_SAED14</t>
  </si>
  <si>
    <t>C:\Users\Alex\Desktop\CAS 2026\FinFET Excel Solver\Sqrt(Id(Vgs))</t>
  </si>
  <si>
    <t>C:\Users\Alex\Desktop\CAS 2026\FinFET Excel Solver\Vds_sat</t>
  </si>
  <si>
    <t>C:\Users\Alex\Desktop\CAS 2026\FinFET Excel Solver\Vt(Vbs)</t>
  </si>
  <si>
    <t>G:\Program Files\PuTTY</t>
  </si>
  <si>
    <t>Putty_Path</t>
  </si>
  <si>
    <t>400_Limit</t>
  </si>
  <si>
    <t>500_Limit</t>
  </si>
  <si>
    <t>600_Limit</t>
  </si>
  <si>
    <t>700_Limit</t>
  </si>
  <si>
    <t>800_Limit</t>
  </si>
  <si>
    <t>Id_wrt_Vds_DataPath</t>
  </si>
  <si>
    <t>Sqrt_Id_wrt_Vgs_DataPath</t>
  </si>
  <si>
    <t>Vds_sat_DataPath</t>
  </si>
  <si>
    <t>Vt_wrt_Vbs_DataPath</t>
  </si>
  <si>
    <t>Spectre_Id_wrt_Vds_NMOS_GPDK</t>
  </si>
  <si>
    <t>Spectre_Id_wrt_Vds_NMOS_PTM</t>
  </si>
  <si>
    <t>Spectre_Id_wrt_Vds_NMOS_SAED14</t>
  </si>
  <si>
    <t>Spectre_Id_wrt_Vds_PMOS_GPDK</t>
  </si>
  <si>
    <t>Spectre_Id_wrt_Vds_PMOS_PTM</t>
  </si>
  <si>
    <t>Spectre_Id_wrt_Vds_PMOS_SAED14</t>
  </si>
  <si>
    <t>Spectre_Sqrt_Id_wrt_Vgs_NMOS_GPDK</t>
  </si>
  <si>
    <t>Spectre_Sqrt_Id_wrt_Vgs_NMOS_PTM</t>
  </si>
  <si>
    <t>Spectre_Sqrt_Id_wrt_Vgs_NMOS_SAED14</t>
  </si>
  <si>
    <t>Spectre_Sqrt_Id_wrt_Vgs_PMOS_GPDK</t>
  </si>
  <si>
    <t>Spectre_Sqrt_Id_wrt_Vgs_PMOS_PTM</t>
  </si>
  <si>
    <t>Spectre_Sqrt_Id_wrt_Vgs_PMOS_SAED14</t>
  </si>
  <si>
    <t>flash.dcae.pub.ro</t>
  </si>
  <si>
    <t>avulpe_research</t>
  </si>
  <si>
    <t>Host Ip</t>
  </si>
  <si>
    <t>User Name</t>
  </si>
  <si>
    <t>Password</t>
  </si>
  <si>
    <t>Spectre Working Directory</t>
  </si>
  <si>
    <t>~/Desktop/FinFET_Excel_Solver</t>
  </si>
  <si>
    <t>NMOS_L18nm_SAED14_Id_wrt_Vds.scs</t>
  </si>
  <si>
    <t>Spectre Netlist File</t>
  </si>
  <si>
    <t>Spectre Results File</t>
  </si>
  <si>
    <t>/home/avulpe_research/Desktop/FinFET_Excel_Solver/NMOS_L18nm_SAED14_Id_wrt_Vds.raw/dc.dc</t>
  </si>
  <si>
    <t>Adjusted_Coeff_"a"_for_VT0</t>
  </si>
  <si>
    <t>NMOS FinFET Transistor Simulation Results</t>
  </si>
  <si>
    <t>PMOS FinFET Transistor Simulation Results</t>
  </si>
  <si>
    <t>NMOS GPDK</t>
  </si>
  <si>
    <t>NMOS SAED14</t>
  </si>
  <si>
    <t>NMOS PTM</t>
  </si>
  <si>
    <t>PMOS GPDK</t>
  </si>
  <si>
    <t>PMOS PTM</t>
  </si>
  <si>
    <t>PMOS SAED14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</si>
</sst>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1"/>
      <name val="Aptos Narrow"/>
      <family val="2"/>
    </font>
    <font>
      <sz val="11"/>
      <color theme="0"/>
      <name val="Calibri"/>
      <family val="2"/>
      <charset val="238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  <charset val="238"/>
      <scheme val="minor"/>
    </font>
    <font>
      <b/>
      <sz val="11"/>
      <color theme="0"/>
      <name val="Aptos Narrow"/>
      <family val="2"/>
    </font>
    <font>
      <vertAlign val="subscript"/>
      <sz val="11"/>
      <color theme="1"/>
      <name val="Calibri"/>
      <family val="2"/>
    </font>
    <font>
      <b/>
      <sz val="11"/>
      <color theme="1"/>
      <name val="Aptos Narrow"/>
      <family val="2"/>
    </font>
    <font>
      <vertAlign val="superscript"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9">
    <border>
      <left/>
      <right/>
      <top/>
      <bottom/>
      <diagonal/>
    </border>
    <border>
      <left/>
      <right style="thin">
        <color rgb="FF99CC00"/>
      </right>
      <top/>
      <bottom/>
      <diagonal/>
    </border>
    <border>
      <left/>
      <right/>
      <top/>
      <bottom style="thin">
        <color rgb="FF99CC00"/>
      </bottom>
      <diagonal/>
    </border>
    <border>
      <left style="thin">
        <color rgb="FF99CC00"/>
      </left>
      <right style="thin">
        <color rgb="FF99CC00"/>
      </right>
      <top style="thin">
        <color rgb="FF99CC00"/>
      </top>
      <bottom style="thin">
        <color rgb="FF99CC00"/>
      </bottom>
      <diagonal/>
    </border>
    <border>
      <left/>
      <right style="thin">
        <color rgb="FF99CC00"/>
      </right>
      <top style="thin">
        <color rgb="FF99CC00"/>
      </top>
      <bottom style="thin">
        <color rgb="FF99CC00"/>
      </bottom>
      <diagonal/>
    </border>
    <border>
      <left style="thin">
        <color rgb="FF99CC00"/>
      </left>
      <right style="thin">
        <color rgb="FF99CC00"/>
      </right>
      <top/>
      <bottom style="thin">
        <color rgb="FF99CC00"/>
      </bottom>
      <diagonal/>
    </border>
    <border>
      <left style="thin">
        <color rgb="FF99CC00"/>
      </left>
      <right/>
      <top style="thin">
        <color rgb="FF99CC00"/>
      </top>
      <bottom style="thin">
        <color rgb="FF99CC00"/>
      </bottom>
      <diagonal/>
    </border>
    <border>
      <left/>
      <right/>
      <top style="thin">
        <color rgb="FF99CC00"/>
      </top>
      <bottom style="thin">
        <color rgb="FF99CC00"/>
      </bottom>
      <diagonal/>
    </border>
    <border>
      <left style="thin">
        <color rgb="FF99CC00"/>
      </left>
      <right/>
      <top/>
      <bottom style="thin">
        <color rgb="FF99CC00"/>
      </bottom>
      <diagonal/>
    </border>
  </borders>
  <cellStyleXfs count="3">
    <xf numFmtId="0" fontId="0" fillId="0" borderId="0"/>
    <xf numFmtId="0" fontId="8" fillId="2" borderId="0" applyNumberFormat="0" applyBorder="0" applyAlignment="0" applyProtection="0"/>
    <xf numFmtId="0" fontId="5" fillId="3" borderId="0" applyNumberFormat="0" applyBorder="0" applyAlignment="0" applyProtection="0"/>
  </cellStyleXfs>
  <cellXfs count="42"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5" fillId="3" borderId="0" xfId="2"/>
    <xf numFmtId="0" fontId="15" fillId="0" borderId="0" xfId="0" applyFont="1" applyAlignment="1">
      <alignment horizontal="center" vertical="center"/>
    </xf>
    <xf numFmtId="0" fontId="13" fillId="2" borderId="0" xfId="1" applyFont="1" applyAlignment="1">
      <alignment horizontal="center" vertical="center"/>
    </xf>
    <xf numFmtId="0" fontId="0" fillId="0" borderId="1" xfId="0" applyBorder="1"/>
    <xf numFmtId="0" fontId="8" fillId="2" borderId="2" xfId="1" applyBorder="1"/>
    <xf numFmtId="0" fontId="5" fillId="3" borderId="3" xfId="2" applyBorder="1"/>
    <xf numFmtId="0" fontId="0" fillId="0" borderId="4" xfId="0" applyBorder="1"/>
    <xf numFmtId="0" fontId="0" fillId="0" borderId="3" xfId="0" applyBorder="1"/>
    <xf numFmtId="0" fontId="6" fillId="2" borderId="2" xfId="1" applyFont="1" applyBorder="1"/>
    <xf numFmtId="0" fontId="6" fillId="2" borderId="0" xfId="1" applyFont="1"/>
    <xf numFmtId="0" fontId="4" fillId="3" borderId="3" xfId="2" applyFont="1" applyBorder="1"/>
    <xf numFmtId="0" fontId="5" fillId="3" borderId="5" xfId="2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5" fillId="3" borderId="3" xfId="2" applyBorder="1" applyAlignment="1">
      <alignment horizontal="left" vertical="center"/>
    </xf>
    <xf numFmtId="0" fontId="3" fillId="3" borderId="3" xfId="2" applyFont="1" applyBorder="1"/>
    <xf numFmtId="0" fontId="3" fillId="0" borderId="0" xfId="0" applyFont="1" applyAlignment="1">
      <alignment horizontal="center" vertical="center"/>
    </xf>
    <xf numFmtId="0" fontId="17" fillId="0" borderId="0" xfId="0" applyFont="1"/>
    <xf numFmtId="0" fontId="6" fillId="0" borderId="0" xfId="1" applyFont="1" applyFill="1" applyAlignment="1">
      <alignment vertical="center"/>
    </xf>
    <xf numFmtId="49" fontId="0" fillId="0" borderId="0" xfId="0" applyNumberFormat="1"/>
    <xf numFmtId="0" fontId="5" fillId="3" borderId="7" xfId="2" applyBorder="1" applyAlignment="1"/>
    <xf numFmtId="0" fontId="5" fillId="0" borderId="0" xfId="2" applyFill="1" applyBorder="1" applyAlignment="1"/>
    <xf numFmtId="0" fontId="6" fillId="0" borderId="0" xfId="1" applyFont="1" applyFill="1" applyBorder="1" applyAlignment="1">
      <alignment horizontal="center"/>
    </xf>
    <xf numFmtId="0" fontId="6" fillId="0" borderId="0" xfId="1" applyFont="1" applyFill="1" applyBorder="1" applyAlignment="1"/>
    <xf numFmtId="0" fontId="2" fillId="3" borderId="4" xfId="2" applyFont="1" applyBorder="1"/>
    <xf numFmtId="0" fontId="5" fillId="0" borderId="0" xfId="2" applyFill="1" applyBorder="1" applyAlignment="1">
      <alignment horizontal="center"/>
    </xf>
    <xf numFmtId="0" fontId="5" fillId="3" borderId="6" xfId="2" applyBorder="1" applyAlignment="1">
      <alignment horizontal="right"/>
    </xf>
    <xf numFmtId="0" fontId="5" fillId="3" borderId="8" xfId="2" applyBorder="1"/>
    <xf numFmtId="0" fontId="0" fillId="0" borderId="6" xfId="0" applyBorder="1"/>
    <xf numFmtId="0" fontId="5" fillId="3" borderId="6" xfId="2" applyBorder="1"/>
    <xf numFmtId="0" fontId="6" fillId="2" borderId="0" xfId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/>
    </xf>
  </cellXfs>
  <cellStyles count="3">
    <cellStyle name="20% - Accent6" xfId="2" builtinId="50"/>
    <cellStyle name="Accent6" xfId="1" builtinId="49"/>
    <cellStyle name="Normal" xfId="0" builtinId="0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charset val="238"/>
      </font>
      <alignment horizontal="center" vertical="center" textRotation="0" wrapText="0" indent="0" justifyLastLine="0" shrinkToFit="0" readingOrder="0"/>
    </dxf>
    <dxf>
      <font>
        <b val="0"/>
        <charset val="238"/>
      </font>
      <alignment horizontal="center" vertical="center" textRotation="0" wrapText="0" indent="0" justifyLastLine="0" shrinkToFit="0" readingOrder="0"/>
    </dxf>
    <dxf>
      <font>
        <b val="0"/>
        <charset val="238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CC00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Vds_sat(Vgs)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0.1065672619047619"/>
                  <c:y val="-7.73375420875421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o-RO"/>
                </a:p>
              </c:txPr>
            </c:trendlineLbl>
          </c:trendline>
          <c:cat>
            <c:numRef>
              <c:f>Vds_sat!$B$9:$B$13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600</c:v>
                </c:pt>
                <c:pt idx="3">
                  <c:v>700</c:v>
                </c:pt>
                <c:pt idx="4">
                  <c:v>800</c:v>
                </c:pt>
              </c:numCache>
            </c:numRef>
          </c:cat>
          <c:val>
            <c:numRef>
              <c:f>Vds_sat!$C$9:$C$13</c:f>
              <c:numCache>
                <c:formatCode>General</c:formatCode>
                <c:ptCount val="5"/>
                <c:pt idx="0">
                  <c:v>96</c:v>
                </c:pt>
                <c:pt idx="1">
                  <c:v>128</c:v>
                </c:pt>
                <c:pt idx="2">
                  <c:v>160</c:v>
                </c:pt>
                <c:pt idx="3">
                  <c:v>192.00000000000009</c:v>
                </c:pt>
                <c:pt idx="4">
                  <c:v>240.00000000000011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DC-41FA-A93E-E81809246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06576"/>
        <c:axId val="2024707056"/>
      </c:lineChart>
      <c:catAx>
        <c:axId val="202470657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Vgs [mV]</a:t>
                </a:r>
                <a:endParaRPr lang="ro-RO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2024707056"/>
        <c:crosses val="autoZero"/>
        <c:auto val="1"/>
        <c:lblAlgn val="ctr"/>
        <c:lblOffset val="100"/>
        <c:noMultiLvlLbl val="0"/>
      </c:catAx>
      <c:valAx>
        <c:axId val="202470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Vds_sat</a:t>
                </a:r>
                <a:r>
                  <a:rPr lang="en-US" baseline="0"/>
                  <a:t> [mV]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202470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/>
              <a:t>λ</a:t>
            </a:r>
            <a:r>
              <a:rPr lang="en-US"/>
              <a:t>(Vgs)</a:t>
            </a:r>
            <a:endParaRPr lang="el-G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Lambda!$O$2</c:f>
              <c:strCache>
                <c:ptCount val="1"/>
                <c:pt idx="0">
                  <c:v>λ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0"/>
            <c:trendlineLbl>
              <c:layout>
                <c:manualLayout>
                  <c:x val="0.10455981137950976"/>
                  <c:y val="-2.150314621626099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o-RO"/>
                </a:p>
              </c:txPr>
            </c:trendlineLbl>
          </c:trendline>
          <c:cat>
            <c:numRef>
              <c:f>Lambda!$L$3:$L$7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600</c:v>
                </c:pt>
                <c:pt idx="3">
                  <c:v>700</c:v>
                </c:pt>
                <c:pt idx="4">
                  <c:v>800</c:v>
                </c:pt>
              </c:numCache>
            </c:numRef>
          </c:cat>
          <c:val>
            <c:numRef>
              <c:f>Lambda!$O$3:$O$7</c:f>
              <c:numCache>
                <c:formatCode>General</c:formatCode>
                <c:ptCount val="5"/>
                <c:pt idx="0">
                  <c:v>0.90741728447124259</c:v>
                </c:pt>
                <c:pt idx="1">
                  <c:v>0.71567176388963705</c:v>
                </c:pt>
                <c:pt idx="2">
                  <c:v>0.73144485173458795</c:v>
                </c:pt>
                <c:pt idx="3">
                  <c:v>0.8779362621147776</c:v>
                </c:pt>
                <c:pt idx="4">
                  <c:v>1.0734871380556947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F-4470-8A92-0E30B1132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9867728"/>
        <c:axId val="2019885488"/>
      </c:lineChart>
      <c:catAx>
        <c:axId val="201986772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Vgs</a:t>
                </a:r>
                <a:r>
                  <a:rPr lang="en-US" baseline="0"/>
                  <a:t> [mV]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2019885488"/>
        <c:crosses val="autoZero"/>
        <c:auto val="1"/>
        <c:lblAlgn val="ctr"/>
        <c:lblOffset val="100"/>
        <c:noMultiLvlLbl val="0"/>
      </c:catAx>
      <c:valAx>
        <c:axId val="201988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o-RO"/>
                  <a:t>λ</a:t>
                </a:r>
                <a:r>
                  <a:rPr lang="en-US"/>
                  <a:t> [V</a:t>
                </a:r>
                <a:r>
                  <a:rPr lang="en-US" baseline="30000"/>
                  <a:t>-1</a:t>
                </a:r>
                <a:r>
                  <a:rPr lang="en-US"/>
                  <a:t>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201986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  <a:r>
              <a:rPr lang="en-US" baseline="-25000"/>
              <a:t>VT0</a:t>
            </a:r>
            <a:r>
              <a:rPr lang="en-US"/>
              <a:t>(Vgs)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VT0_and_Vds_coeffs!$R$2</c:f>
              <c:strCache>
                <c:ptCount val="1"/>
                <c:pt idx="0">
                  <c:v>VT0_Coef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0.10604330708661418"/>
                  <c:y val="-4.727580927384077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o-RO"/>
                </a:p>
              </c:txPr>
            </c:trendlineLbl>
          </c:trendline>
          <c:cat>
            <c:numRef>
              <c:f>VT0_and_Vds_coeffs!$Q$3:$Q$7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600</c:v>
                </c:pt>
                <c:pt idx="3">
                  <c:v>700</c:v>
                </c:pt>
                <c:pt idx="4">
                  <c:v>800</c:v>
                </c:pt>
              </c:numCache>
            </c:numRef>
          </c:cat>
          <c:val>
            <c:numRef>
              <c:f>VT0_and_Vds_coeffs!$R$3:$R$7</c:f>
              <c:numCache>
                <c:formatCode>General</c:formatCode>
                <c:ptCount val="5"/>
                <c:pt idx="0">
                  <c:v>1.2452934874449011</c:v>
                </c:pt>
                <c:pt idx="1">
                  <c:v>1.5619419033496991</c:v>
                </c:pt>
                <c:pt idx="2">
                  <c:v>1.8820560996344751</c:v>
                </c:pt>
                <c:pt idx="3">
                  <c:v>2.2055678583889011</c:v>
                </c:pt>
                <c:pt idx="4">
                  <c:v>2.532496665451077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C-48DB-98BA-AC8C210EB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432143"/>
        <c:axId val="656426863"/>
      </c:lineChart>
      <c:catAx>
        <c:axId val="65643214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Vgs [mV]</a:t>
                </a:r>
                <a:endParaRPr lang="ro-RO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656426863"/>
        <c:crosses val="autoZero"/>
        <c:auto val="1"/>
        <c:lblAlgn val="ctr"/>
        <c:lblOffset val="100"/>
        <c:noMultiLvlLbl val="0"/>
      </c:catAx>
      <c:valAx>
        <c:axId val="65642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o-RO"/>
                  <a:t>VT0_Coef</a:t>
                </a:r>
                <a:r>
                  <a:rPr lang="en-US"/>
                  <a:t>s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656432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</a:t>
            </a:r>
            <a:r>
              <a:rPr lang="en-US" baseline="-25000"/>
              <a:t>Vds</a:t>
            </a:r>
            <a:r>
              <a:rPr lang="en-US"/>
              <a:t>(Vgs)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VT0_and_Vds_coeffs!$S$2</c:f>
              <c:strCache>
                <c:ptCount val="1"/>
                <c:pt idx="0">
                  <c:v>Vds_Coef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0"/>
            <c:trendlineLbl>
              <c:layout>
                <c:manualLayout>
                  <c:x val="0.10341557305336822"/>
                  <c:y val="-7.18722659667541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o-RO"/>
                </a:p>
              </c:txPr>
            </c:trendlineLbl>
          </c:trendline>
          <c:cat>
            <c:numRef>
              <c:f>VT0_and_Vds_coeffs!$Q$3:$Q$7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600</c:v>
                </c:pt>
                <c:pt idx="3">
                  <c:v>700</c:v>
                </c:pt>
                <c:pt idx="4">
                  <c:v>800</c:v>
                </c:pt>
              </c:numCache>
            </c:numRef>
          </c:cat>
          <c:val>
            <c:numRef>
              <c:f>VT0_and_Vds_coeffs!$T$3:$T$7</c:f>
              <c:numCache>
                <c:formatCode>General</c:formatCode>
                <c:ptCount val="5"/>
                <c:pt idx="0">
                  <c:v>6.2380363515036188E-2</c:v>
                </c:pt>
                <c:pt idx="1">
                  <c:v>0.12898243041577032</c:v>
                </c:pt>
                <c:pt idx="2">
                  <c:v>0.1689481019001991</c:v>
                </c:pt>
                <c:pt idx="3">
                  <c:v>0.1886361019737646</c:v>
                </c:pt>
                <c:pt idx="4">
                  <c:v>0.19895638168745133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24-43B1-8BE9-F04751FD2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432143"/>
        <c:axId val="656426863"/>
      </c:lineChart>
      <c:catAx>
        <c:axId val="656432143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Vgs [mV]</a:t>
                </a:r>
                <a:endParaRPr lang="ro-RO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656426863"/>
        <c:crosses val="autoZero"/>
        <c:auto val="1"/>
        <c:lblAlgn val="ctr"/>
        <c:lblOffset val="100"/>
        <c:noMultiLvlLbl val="0"/>
      </c:catAx>
      <c:valAx>
        <c:axId val="65642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o-RO"/>
                  <a:t>V</a:t>
                </a:r>
                <a:r>
                  <a:rPr lang="en-US"/>
                  <a:t>ds</a:t>
                </a:r>
                <a:r>
                  <a:rPr lang="ro-RO"/>
                  <a:t>_Coef</a:t>
                </a:r>
                <a:r>
                  <a:rPr lang="en-US"/>
                  <a:t>s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656432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Id(Vds)</a:t>
            </a:r>
            <a:endParaRPr lang="ro-R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Id_wrt_Vds_Plot!$G$2</c:f>
              <c:strCache>
                <c:ptCount val="1"/>
                <c:pt idx="0">
                  <c:v>Our_model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Id_wrt_Vds_Plot!$N$3:$N$53</c:f>
              <c:numCache>
                <c:formatCode>General</c:formatCode>
                <c:ptCount val="51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192.00000000000009</c:v>
                </c:pt>
                <c:pt idx="13">
                  <c:v>208.00000000000011</c:v>
                </c:pt>
                <c:pt idx="14">
                  <c:v>224.00000000000009</c:v>
                </c:pt>
                <c:pt idx="15">
                  <c:v>240.00000000000011</c:v>
                </c:pt>
                <c:pt idx="16">
                  <c:v>256.00000000000011</c:v>
                </c:pt>
                <c:pt idx="17">
                  <c:v>272.00000000000006</c:v>
                </c:pt>
                <c:pt idx="18">
                  <c:v>288.00000000000011</c:v>
                </c:pt>
                <c:pt idx="19">
                  <c:v>304.00000000000023</c:v>
                </c:pt>
                <c:pt idx="20">
                  <c:v>320.00000000000017</c:v>
                </c:pt>
                <c:pt idx="21">
                  <c:v>336.00000000000017</c:v>
                </c:pt>
                <c:pt idx="22">
                  <c:v>352.00000000000023</c:v>
                </c:pt>
                <c:pt idx="23">
                  <c:v>368.00000000000023</c:v>
                </c:pt>
                <c:pt idx="24">
                  <c:v>384.00000000000017</c:v>
                </c:pt>
                <c:pt idx="25">
                  <c:v>400.00000000000017</c:v>
                </c:pt>
                <c:pt idx="26">
                  <c:v>416.00000000000034</c:v>
                </c:pt>
                <c:pt idx="27">
                  <c:v>432.00000000000028</c:v>
                </c:pt>
                <c:pt idx="28">
                  <c:v>448.00000000000028</c:v>
                </c:pt>
                <c:pt idx="29">
                  <c:v>464.00000000000028</c:v>
                </c:pt>
                <c:pt idx="30">
                  <c:v>480.00000000000034</c:v>
                </c:pt>
                <c:pt idx="31">
                  <c:v>496.00000000000028</c:v>
                </c:pt>
                <c:pt idx="32">
                  <c:v>512.00000000000034</c:v>
                </c:pt>
                <c:pt idx="33">
                  <c:v>528.00000000000034</c:v>
                </c:pt>
                <c:pt idx="34">
                  <c:v>544.00000000000034</c:v>
                </c:pt>
                <c:pt idx="35">
                  <c:v>560.00000000000034</c:v>
                </c:pt>
                <c:pt idx="36">
                  <c:v>576.00000000000045</c:v>
                </c:pt>
                <c:pt idx="37">
                  <c:v>592.00000000000045</c:v>
                </c:pt>
                <c:pt idx="38">
                  <c:v>608.00000000000045</c:v>
                </c:pt>
                <c:pt idx="39">
                  <c:v>624.00000000000045</c:v>
                </c:pt>
                <c:pt idx="40">
                  <c:v>640.00000000000045</c:v>
                </c:pt>
                <c:pt idx="41">
                  <c:v>656.00000000000045</c:v>
                </c:pt>
                <c:pt idx="42">
                  <c:v>672.00000000000045</c:v>
                </c:pt>
                <c:pt idx="43">
                  <c:v>688.00000000000045</c:v>
                </c:pt>
                <c:pt idx="44">
                  <c:v>704.00000000000057</c:v>
                </c:pt>
                <c:pt idx="45">
                  <c:v>720.00000000000057</c:v>
                </c:pt>
                <c:pt idx="46">
                  <c:v>736.00000000000057</c:v>
                </c:pt>
                <c:pt idx="47">
                  <c:v>752.00000000000057</c:v>
                </c:pt>
                <c:pt idx="48">
                  <c:v>768.00000000000057</c:v>
                </c:pt>
                <c:pt idx="49">
                  <c:v>784.00000000000057</c:v>
                </c:pt>
                <c:pt idx="50">
                  <c:v>800</c:v>
                </c:pt>
              </c:numCache>
            </c:numRef>
          </c:cat>
          <c:val>
            <c:numRef>
              <c:f>Id_wrt_Vds_Plot!$G$2:$G$53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1.3775324321273934</c:v>
                </c:pt>
                <c:pt idx="3">
                  <c:v>2.5934430940243622</c:v>
                </c:pt>
                <c:pt idx="4">
                  <c:v>3.6405833485282635</c:v>
                </c:pt>
                <c:pt idx="5">
                  <c:v>4.511804558476455</c:v>
                </c:pt>
                <c:pt idx="6">
                  <c:v>5.1999580867062933</c:v>
                </c:pt>
                <c:pt idx="7">
                  <c:v>5.6978952960551368</c:v>
                </c:pt>
                <c:pt idx="8">
                  <c:v>6.3916674132287854</c:v>
                </c:pt>
                <c:pt idx="9">
                  <c:v>6.4650629555370376</c:v>
                </c:pt>
                <c:pt idx="10">
                  <c:v>6.5384584978452907</c:v>
                </c:pt>
                <c:pt idx="11">
                  <c:v>6.6118540401535428</c:v>
                </c:pt>
                <c:pt idx="12">
                  <c:v>6.6852495824617959</c:v>
                </c:pt>
                <c:pt idx="13">
                  <c:v>6.7586451247700481</c:v>
                </c:pt>
                <c:pt idx="14">
                  <c:v>6.8320406670783012</c:v>
                </c:pt>
                <c:pt idx="15">
                  <c:v>6.9054362093865533</c:v>
                </c:pt>
                <c:pt idx="16">
                  <c:v>6.9788317516948064</c:v>
                </c:pt>
                <c:pt idx="17">
                  <c:v>7.0522272940030586</c:v>
                </c:pt>
                <c:pt idx="18">
                  <c:v>7.1256228363113117</c:v>
                </c:pt>
                <c:pt idx="19">
                  <c:v>7.1990183786195638</c:v>
                </c:pt>
                <c:pt idx="20">
                  <c:v>7.2724139209278169</c:v>
                </c:pt>
                <c:pt idx="21">
                  <c:v>7.3458094632360691</c:v>
                </c:pt>
                <c:pt idx="22">
                  <c:v>7.4192050055443213</c:v>
                </c:pt>
                <c:pt idx="23">
                  <c:v>7.4926005478525743</c:v>
                </c:pt>
                <c:pt idx="24">
                  <c:v>7.5659960901608265</c:v>
                </c:pt>
                <c:pt idx="25">
                  <c:v>7.6393916324690778</c:v>
                </c:pt>
                <c:pt idx="26">
                  <c:v>7.7127871747773318</c:v>
                </c:pt>
                <c:pt idx="27">
                  <c:v>7.7861827170855848</c:v>
                </c:pt>
                <c:pt idx="28">
                  <c:v>7.859578259393837</c:v>
                </c:pt>
                <c:pt idx="29">
                  <c:v>7.9329738017020883</c:v>
                </c:pt>
                <c:pt idx="30">
                  <c:v>8.0063693440103432</c:v>
                </c:pt>
                <c:pt idx="31">
                  <c:v>8.0797648863185945</c:v>
                </c:pt>
                <c:pt idx="32">
                  <c:v>8.1531604286268458</c:v>
                </c:pt>
                <c:pt idx="33">
                  <c:v>8.2265559709350988</c:v>
                </c:pt>
                <c:pt idx="34">
                  <c:v>8.2999515132433519</c:v>
                </c:pt>
                <c:pt idx="35">
                  <c:v>8.373347055551605</c:v>
                </c:pt>
                <c:pt idx="36">
                  <c:v>8.4467425978598563</c:v>
                </c:pt>
                <c:pt idx="37">
                  <c:v>8.5201381401681093</c:v>
                </c:pt>
                <c:pt idx="38">
                  <c:v>8.5935336824763624</c:v>
                </c:pt>
                <c:pt idx="39">
                  <c:v>8.6669292247846155</c:v>
                </c:pt>
                <c:pt idx="40">
                  <c:v>8.7403247670928668</c:v>
                </c:pt>
                <c:pt idx="41">
                  <c:v>8.8137203094011198</c:v>
                </c:pt>
                <c:pt idx="42">
                  <c:v>8.8871158517093729</c:v>
                </c:pt>
                <c:pt idx="43">
                  <c:v>8.9605113940176242</c:v>
                </c:pt>
                <c:pt idx="44">
                  <c:v>9.0339069363258773</c:v>
                </c:pt>
                <c:pt idx="45">
                  <c:v>9.1073024786341303</c:v>
                </c:pt>
                <c:pt idx="46">
                  <c:v>9.1806980209423834</c:v>
                </c:pt>
                <c:pt idx="47">
                  <c:v>9.2540935632506347</c:v>
                </c:pt>
                <c:pt idx="48">
                  <c:v>9.3274891055588878</c:v>
                </c:pt>
                <c:pt idx="49">
                  <c:v>9.4008846478671408</c:v>
                </c:pt>
                <c:pt idx="50">
                  <c:v>9.4742801901753921</c:v>
                </c:pt>
                <c:pt idx="51">
                  <c:v>9.5476757324836434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CC9-46B6-8BE5-D3EEDBFF73C8}"/>
            </c:ext>
          </c:extLst>
        </c:ser>
        <c:ser>
          <c:idx val="1"/>
          <c:order val="1"/>
          <c:tx>
            <c:strRef>
              <c:f>Id_wrt_Vds_Plot!$H$2</c:f>
              <c:strCache>
                <c:ptCount val="1"/>
                <c:pt idx="0">
                  <c:v>Spline_Interpolation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Id_wrt_Vds_Plot!$N$3:$N$53</c:f>
              <c:numCache>
                <c:formatCode>General</c:formatCode>
                <c:ptCount val="51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192.00000000000009</c:v>
                </c:pt>
                <c:pt idx="13">
                  <c:v>208.00000000000011</c:v>
                </c:pt>
                <c:pt idx="14">
                  <c:v>224.00000000000009</c:v>
                </c:pt>
                <c:pt idx="15">
                  <c:v>240.00000000000011</c:v>
                </c:pt>
                <c:pt idx="16">
                  <c:v>256.00000000000011</c:v>
                </c:pt>
                <c:pt idx="17">
                  <c:v>272.00000000000006</c:v>
                </c:pt>
                <c:pt idx="18">
                  <c:v>288.00000000000011</c:v>
                </c:pt>
                <c:pt idx="19">
                  <c:v>304.00000000000023</c:v>
                </c:pt>
                <c:pt idx="20">
                  <c:v>320.00000000000017</c:v>
                </c:pt>
                <c:pt idx="21">
                  <c:v>336.00000000000017</c:v>
                </c:pt>
                <c:pt idx="22">
                  <c:v>352.00000000000023</c:v>
                </c:pt>
                <c:pt idx="23">
                  <c:v>368.00000000000023</c:v>
                </c:pt>
                <c:pt idx="24">
                  <c:v>384.00000000000017</c:v>
                </c:pt>
                <c:pt idx="25">
                  <c:v>400.00000000000017</c:v>
                </c:pt>
                <c:pt idx="26">
                  <c:v>416.00000000000034</c:v>
                </c:pt>
                <c:pt idx="27">
                  <c:v>432.00000000000028</c:v>
                </c:pt>
                <c:pt idx="28">
                  <c:v>448.00000000000028</c:v>
                </c:pt>
                <c:pt idx="29">
                  <c:v>464.00000000000028</c:v>
                </c:pt>
                <c:pt idx="30">
                  <c:v>480.00000000000034</c:v>
                </c:pt>
                <c:pt idx="31">
                  <c:v>496.00000000000028</c:v>
                </c:pt>
                <c:pt idx="32">
                  <c:v>512.00000000000034</c:v>
                </c:pt>
                <c:pt idx="33">
                  <c:v>528.00000000000034</c:v>
                </c:pt>
                <c:pt idx="34">
                  <c:v>544.00000000000034</c:v>
                </c:pt>
                <c:pt idx="35">
                  <c:v>560.00000000000034</c:v>
                </c:pt>
                <c:pt idx="36">
                  <c:v>576.00000000000045</c:v>
                </c:pt>
                <c:pt idx="37">
                  <c:v>592.00000000000045</c:v>
                </c:pt>
                <c:pt idx="38">
                  <c:v>608.00000000000045</c:v>
                </c:pt>
                <c:pt idx="39">
                  <c:v>624.00000000000045</c:v>
                </c:pt>
                <c:pt idx="40">
                  <c:v>640.00000000000045</c:v>
                </c:pt>
                <c:pt idx="41">
                  <c:v>656.00000000000045</c:v>
                </c:pt>
                <c:pt idx="42">
                  <c:v>672.00000000000045</c:v>
                </c:pt>
                <c:pt idx="43">
                  <c:v>688.00000000000045</c:v>
                </c:pt>
                <c:pt idx="44">
                  <c:v>704.00000000000057</c:v>
                </c:pt>
                <c:pt idx="45">
                  <c:v>720.00000000000057</c:v>
                </c:pt>
                <c:pt idx="46">
                  <c:v>736.00000000000057</c:v>
                </c:pt>
                <c:pt idx="47">
                  <c:v>752.00000000000057</c:v>
                </c:pt>
                <c:pt idx="48">
                  <c:v>768.00000000000057</c:v>
                </c:pt>
                <c:pt idx="49">
                  <c:v>784.00000000000057</c:v>
                </c:pt>
                <c:pt idx="50">
                  <c:v>800</c:v>
                </c:pt>
              </c:numCache>
            </c:numRef>
          </c:cat>
          <c:val>
            <c:numRef>
              <c:f>Id_wrt_Vds_Plot!$H$2:$H$53</c:f>
              <c:numCache>
                <c:formatCode>General</c:formatCode>
                <c:ptCount val="52"/>
                <c:pt idx="0">
                  <c:v>0</c:v>
                </c:pt>
                <c:pt idx="1">
                  <c:v>-4.2921585505219001E-7</c:v>
                </c:pt>
                <c:pt idx="2">
                  <c:v>1.48503711431209</c:v>
                </c:pt>
                <c:pt idx="3">
                  <c:v>2.7239841454483198</c:v>
                </c:pt>
                <c:pt idx="4">
                  <c:v>3.73594897760433</c:v>
                </c:pt>
                <c:pt idx="5">
                  <c:v>4.5421823579325897</c:v>
                </c:pt>
                <c:pt idx="6">
                  <c:v>5.1671007630456298</c:v>
                </c:pt>
                <c:pt idx="7">
                  <c:v>5.6385438330155999</c:v>
                </c:pt>
                <c:pt idx="8">
                  <c:v>5.9867866556406204</c:v>
                </c:pt>
                <c:pt idx="9">
                  <c:v>6.2423764900262304</c:v>
                </c:pt>
                <c:pt idx="10">
                  <c:v>6.43335092919245</c:v>
                </c:pt>
                <c:pt idx="11">
                  <c:v>6.5827672296914796</c:v>
                </c:pt>
                <c:pt idx="12">
                  <c:v>6.7074412479859502</c:v>
                </c:pt>
                <c:pt idx="13">
                  <c:v>6.8181937769792897</c:v>
                </c:pt>
                <c:pt idx="14">
                  <c:v>6.9211570796106798</c:v>
                </c:pt>
                <c:pt idx="15">
                  <c:v>7.0193841651505799</c:v>
                </c:pt>
                <c:pt idx="16">
                  <c:v>7.1142014851278201</c:v>
                </c:pt>
                <c:pt idx="17">
                  <c:v>7.2061103820859698</c:v>
                </c:pt>
                <c:pt idx="18">
                  <c:v>7.2952899623575398</c:v>
                </c:pt>
                <c:pt idx="19">
                  <c:v>7.3818348535618297</c:v>
                </c:pt>
                <c:pt idx="20">
                  <c:v>7.46584660694859</c:v>
                </c:pt>
                <c:pt idx="21">
                  <c:v>7.5474562520591704</c:v>
                </c:pt>
                <c:pt idx="22">
                  <c:v>7.6268200895582101</c:v>
                </c:pt>
                <c:pt idx="23">
                  <c:v>7.7041083997789004</c:v>
                </c:pt>
                <c:pt idx="24">
                  <c:v>7.7794948231755896</c:v>
                </c:pt>
                <c:pt idx="25">
                  <c:v>7.8531486396410504</c:v>
                </c:pt>
                <c:pt idx="26">
                  <c:v>7.9252299705934002</c:v>
                </c:pt>
                <c:pt idx="27">
                  <c:v>7.9958872528296103</c:v>
                </c:pt>
                <c:pt idx="28">
                  <c:v>8.0652562710233795</c:v>
                </c:pt>
                <c:pt idx="29">
                  <c:v>8.1334601713914392</c:v>
                </c:pt>
                <c:pt idx="30">
                  <c:v>8.2006100438621896</c:v>
                </c:pt>
                <c:pt idx="31">
                  <c:v>8.2668057982465299</c:v>
                </c:pt>
                <c:pt idx="32">
                  <c:v>8.3321371617420805</c:v>
                </c:pt>
                <c:pt idx="33">
                  <c:v>8.3966846943928299</c:v>
                </c:pt>
                <c:pt idx="34">
                  <c:v>8.4605207639406395</c:v>
                </c:pt>
                <c:pt idx="35">
                  <c:v>8.5237104499467495</c:v>
                </c:pt>
                <c:pt idx="36">
                  <c:v>8.5863123651250106</c:v>
                </c:pt>
                <c:pt idx="37">
                  <c:v>8.64837939081551</c:v>
                </c:pt>
                <c:pt idx="38">
                  <c:v>8.7099593297727793</c:v>
                </c:pt>
                <c:pt idx="39">
                  <c:v>8.7710954822722407</c:v>
                </c:pt>
                <c:pt idx="40">
                  <c:v>8.8318271527730907</c:v>
                </c:pt>
                <c:pt idx="41">
                  <c:v>8.8921900947390604</c:v>
                </c:pt>
                <c:pt idx="42">
                  <c:v>8.9522169006934806</c:v>
                </c:pt>
                <c:pt idx="43">
                  <c:v>9.0119373443220105</c:v>
                </c:pt>
                <c:pt idx="44">
                  <c:v>9.0713786806990502</c:v>
                </c:pt>
                <c:pt idx="45">
                  <c:v>9.13056591002392</c:v>
                </c:pt>
                <c:pt idx="46">
                  <c:v>9.18952200961294</c:v>
                </c:pt>
                <c:pt idx="47">
                  <c:v>9.2482681382590393</c:v>
                </c:pt>
                <c:pt idx="48">
                  <c:v>9.3068238165905992</c:v>
                </c:pt>
                <c:pt idx="49">
                  <c:v>9.3652070865337897</c:v>
                </c:pt>
                <c:pt idx="50">
                  <c:v>9.4234346525590293</c:v>
                </c:pt>
                <c:pt idx="51">
                  <c:v>9.4815220070395796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CC9-46B6-8BE5-D3EEDBFF73C8}"/>
            </c:ext>
          </c:extLst>
        </c:ser>
        <c:ser>
          <c:idx val="2"/>
          <c:order val="2"/>
          <c:tx>
            <c:v>Spectre_NMOS_SAED14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Id_wrt_Vds_Plot!$N$3:$N$53</c:f>
              <c:numCache>
                <c:formatCode>General</c:formatCode>
                <c:ptCount val="51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192.00000000000009</c:v>
                </c:pt>
                <c:pt idx="13">
                  <c:v>208.00000000000011</c:v>
                </c:pt>
                <c:pt idx="14">
                  <c:v>224.00000000000009</c:v>
                </c:pt>
                <c:pt idx="15">
                  <c:v>240.00000000000011</c:v>
                </c:pt>
                <c:pt idx="16">
                  <c:v>256.00000000000011</c:v>
                </c:pt>
                <c:pt idx="17">
                  <c:v>272.00000000000006</c:v>
                </c:pt>
                <c:pt idx="18">
                  <c:v>288.00000000000011</c:v>
                </c:pt>
                <c:pt idx="19">
                  <c:v>304.00000000000023</c:v>
                </c:pt>
                <c:pt idx="20">
                  <c:v>320.00000000000017</c:v>
                </c:pt>
                <c:pt idx="21">
                  <c:v>336.00000000000017</c:v>
                </c:pt>
                <c:pt idx="22">
                  <c:v>352.00000000000023</c:v>
                </c:pt>
                <c:pt idx="23">
                  <c:v>368.00000000000023</c:v>
                </c:pt>
                <c:pt idx="24">
                  <c:v>384.00000000000017</c:v>
                </c:pt>
                <c:pt idx="25">
                  <c:v>400.00000000000017</c:v>
                </c:pt>
                <c:pt idx="26">
                  <c:v>416.00000000000034</c:v>
                </c:pt>
                <c:pt idx="27">
                  <c:v>432.00000000000028</c:v>
                </c:pt>
                <c:pt idx="28">
                  <c:v>448.00000000000028</c:v>
                </c:pt>
                <c:pt idx="29">
                  <c:v>464.00000000000028</c:v>
                </c:pt>
                <c:pt idx="30">
                  <c:v>480.00000000000034</c:v>
                </c:pt>
                <c:pt idx="31">
                  <c:v>496.00000000000028</c:v>
                </c:pt>
                <c:pt idx="32">
                  <c:v>512.00000000000034</c:v>
                </c:pt>
                <c:pt idx="33">
                  <c:v>528.00000000000034</c:v>
                </c:pt>
                <c:pt idx="34">
                  <c:v>544.00000000000034</c:v>
                </c:pt>
                <c:pt idx="35">
                  <c:v>560.00000000000034</c:v>
                </c:pt>
                <c:pt idx="36">
                  <c:v>576.00000000000045</c:v>
                </c:pt>
                <c:pt idx="37">
                  <c:v>592.00000000000045</c:v>
                </c:pt>
                <c:pt idx="38">
                  <c:v>608.00000000000045</c:v>
                </c:pt>
                <c:pt idx="39">
                  <c:v>624.00000000000045</c:v>
                </c:pt>
                <c:pt idx="40">
                  <c:v>640.00000000000045</c:v>
                </c:pt>
                <c:pt idx="41">
                  <c:v>656.00000000000045</c:v>
                </c:pt>
                <c:pt idx="42">
                  <c:v>672.00000000000045</c:v>
                </c:pt>
                <c:pt idx="43">
                  <c:v>688.00000000000045</c:v>
                </c:pt>
                <c:pt idx="44">
                  <c:v>704.00000000000057</c:v>
                </c:pt>
                <c:pt idx="45">
                  <c:v>720.00000000000057</c:v>
                </c:pt>
                <c:pt idx="46">
                  <c:v>736.00000000000057</c:v>
                </c:pt>
                <c:pt idx="47">
                  <c:v>752.00000000000057</c:v>
                </c:pt>
                <c:pt idx="48">
                  <c:v>768.00000000000057</c:v>
                </c:pt>
                <c:pt idx="49">
                  <c:v>784.00000000000057</c:v>
                </c:pt>
                <c:pt idx="50">
                  <c:v>800</c:v>
                </c:pt>
              </c:numCache>
            </c:numRef>
          </c:cat>
          <c:val>
            <c:numRef>
              <c:f>Id_wrt_Vds_Plot!$O$3:$O$53</c:f>
              <c:numCache>
                <c:formatCode>General</c:formatCode>
                <c:ptCount val="51"/>
                <c:pt idx="0">
                  <c:v>-4.1996744856823949E-7</c:v>
                </c:pt>
                <c:pt idx="1">
                  <c:v>1.4340993910557449</c:v>
                </c:pt>
                <c:pt idx="2">
                  <c:v>2.6180879589164521</c:v>
                </c:pt>
                <c:pt idx="3">
                  <c:v>3.572466204322414</c:v>
                </c:pt>
                <c:pt idx="4">
                  <c:v>4.3206272180252121</c:v>
                </c:pt>
                <c:pt idx="5">
                  <c:v>4.8900957494744777</c:v>
                </c:pt>
                <c:pt idx="6">
                  <c:v>5.3125346744336222</c:v>
                </c:pt>
                <c:pt idx="7">
                  <c:v>5.6217622589250089</c:v>
                </c:pt>
                <c:pt idx="8">
                  <c:v>5.8501944017396834</c:v>
                </c:pt>
                <c:pt idx="9">
                  <c:v>6.025248230067243</c:v>
                </c:pt>
                <c:pt idx="10">
                  <c:v>6.1673172644664724</c:v>
                </c:pt>
                <c:pt idx="11">
                  <c:v>6.2898273126373443</c:v>
                </c:pt>
                <c:pt idx="12">
                  <c:v>6.4006983524178889</c:v>
                </c:pt>
                <c:pt idx="13">
                  <c:v>6.5041870147928611</c:v>
                </c:pt>
                <c:pt idx="14">
                  <c:v>6.6024296154292914</c:v>
                </c:pt>
                <c:pt idx="15">
                  <c:v>6.6964746659112517</c:v>
                </c:pt>
                <c:pt idx="16">
                  <c:v>6.7868724802353739</c:v>
                </c:pt>
                <c:pt idx="17">
                  <c:v>6.8739706752557499</c:v>
                </c:pt>
                <c:pt idx="18">
                  <c:v>6.9580444915652029</c:v>
                </c:pt>
                <c:pt idx="19">
                  <c:v>7.0393456585957788</c:v>
                </c:pt>
                <c:pt idx="20">
                  <c:v>7.1181158399614137</c:v>
                </c:pt>
                <c:pt idx="21">
                  <c:v>7.1945870339817795</c:v>
                </c:pt>
                <c:pt idx="22">
                  <c:v>7.2689786065753825</c:v>
                </c:pt>
                <c:pt idx="23">
                  <c:v>7.3414945480564837</c:v>
                </c:pt>
                <c:pt idx="24">
                  <c:v>7.4123219195942882</c:v>
                </c:pt>
                <c:pt idx="25">
                  <c:v>7.4816304656168215</c:v>
                </c:pt>
                <c:pt idx="26">
                  <c:v>7.549573084038081</c:v>
                </c:pt>
                <c:pt idx="27">
                  <c:v>7.616286831781677</c:v>
                </c:pt>
                <c:pt idx="28">
                  <c:v>7.6818942113553916</c:v>
                </c:pt>
                <c:pt idx="29">
                  <c:v>7.7465045625148639</c:v>
                </c:pt>
                <c:pt idx="30">
                  <c:v>7.8102154470134701</c:v>
                </c:pt>
                <c:pt idx="31">
                  <c:v>7.8731139617146741</c:v>
                </c:pt>
                <c:pt idx="32">
                  <c:v>7.9352779473784256</c:v>
                </c:pt>
                <c:pt idx="33">
                  <c:v>7.9967770791410819</c:v>
                </c:pt>
                <c:pt idx="34">
                  <c:v>8.0576738375733488</c:v>
                </c:pt>
                <c:pt idx="35">
                  <c:v>8.1180243659072868</c:v>
                </c:pt>
                <c:pt idx="36">
                  <c:v>8.1778792224750898</c:v>
                </c:pt>
                <c:pt idx="37">
                  <c:v>8.2372840388184816</c:v>
                </c:pt>
                <c:pt idx="38">
                  <c:v>8.2962800941300756</c:v>
                </c:pt>
                <c:pt idx="39">
                  <c:v>8.3549048162138622</c:v>
                </c:pt>
                <c:pt idx="40">
                  <c:v>8.4131922183357908</c:v>
                </c:pt>
                <c:pt idx="41">
                  <c:v>8.4711732803790429</c:v>
                </c:pt>
                <c:pt idx="42">
                  <c:v>8.528876281740688</c:v>
                </c:pt>
                <c:pt idx="43">
                  <c:v>8.5863270924731516</c:v>
                </c:pt>
                <c:pt idx="44">
                  <c:v>8.6435494283153087</c:v>
                </c:pt>
                <c:pt idx="45">
                  <c:v>8.700565074490564</c:v>
                </c:pt>
                <c:pt idx="46">
                  <c:v>8.7573940824722634</c:v>
                </c:pt>
                <c:pt idx="47">
                  <c:v>8.8140549433278945</c:v>
                </c:pt>
                <c:pt idx="48">
                  <c:v>8.870564740743724</c:v>
                </c:pt>
                <c:pt idx="49">
                  <c:v>8.9269392863938872</c:v>
                </c:pt>
                <c:pt idx="50">
                  <c:v>8.9831932399421532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C7-4739-AEE5-A1236D75A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412719"/>
        <c:axId val="1195415119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v>Spectre_NMOS_PTM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Id_wrt_Vds_Plot!$M$3:$M$53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0.30365333778565357</c:v>
                      </c:pt>
                      <c:pt idx="1">
                        <c:v>0.34704480910958868</c:v>
                      </c:pt>
                      <c:pt idx="2">
                        <c:v>0.39662959459799663</c:v>
                      </c:pt>
                      <c:pt idx="3">
                        <c:v>0.4532894163578865</c:v>
                      </c:pt>
                      <c:pt idx="4">
                        <c:v>0.5180308098981905</c:v>
                      </c:pt>
                      <c:pt idx="5">
                        <c:v>0.5920025603773148</c:v>
                      </c:pt>
                      <c:pt idx="6">
                        <c:v>0.6765154960931592</c:v>
                      </c:pt>
                      <c:pt idx="7">
                        <c:v>0.77306492914921554</c:v>
                      </c:pt>
                      <c:pt idx="8">
                        <c:v>0.8833560570205724</c:v>
                      </c:pt>
                      <c:pt idx="9">
                        <c:v>1.0093326584446258</c:v>
                      </c:pt>
                      <c:pt idx="10">
                        <c:v>1.1532094284469951</c:v>
                      </c:pt>
                      <c:pt idx="11">
                        <c:v>1.3175082934730411</c:v>
                      </c:pt>
                      <c:pt idx="12">
                        <c:v>1.5050990172349601</c:v>
                      </c:pt>
                      <c:pt idx="13">
                        <c:v>1.71924433244967</c:v>
                      </c:pt>
                      <c:pt idx="14">
                        <c:v>1.9636496823926219</c:v>
                      </c:pt>
                      <c:pt idx="15">
                        <c:v>2.2425173776272418</c:v>
                      </c:pt>
                      <c:pt idx="16">
                        <c:v>2.5606044800605421</c:v>
                      </c:pt>
                      <c:pt idx="17">
                        <c:v>2.92328286844727</c:v>
                      </c:pt>
                      <c:pt idx="18">
                        <c:v>3.3365984544582368</c:v>
                      </c:pt>
                      <c:pt idx="19">
                        <c:v>3.807323941128836</c:v>
                      </c:pt>
                      <c:pt idx="20">
                        <c:v>4.3429950049657915</c:v>
                      </c:pt>
                      <c:pt idx="21">
                        <c:v>4.9519117891286397</c:v>
                      </c:pt>
                      <c:pt idx="22">
                        <c:v>5.6430731994878895</c:v>
                      </c:pt>
                      <c:pt idx="23">
                        <c:v>6.4259850820390874</c:v>
                      </c:pt>
                      <c:pt idx="24">
                        <c:v>7.3102339038966679</c:v>
                      </c:pt>
                      <c:pt idx="25">
                        <c:v>8.3046231562445616</c:v>
                      </c:pt>
                      <c:pt idx="26">
                        <c:v>9.4154873596776465</c:v>
                      </c:pt>
                      <c:pt idx="27">
                        <c:v>10.643450924834131</c:v>
                      </c:pt>
                      <c:pt idx="28">
                        <c:v>11.977294778861371</c:v>
                      </c:pt>
                      <c:pt idx="29">
                        <c:v>13.382927728304919</c:v>
                      </c:pt>
                      <c:pt idx="30">
                        <c:v>14.786939341188312</c:v>
                      </c:pt>
                      <c:pt idx="31">
                        <c:v>16.067230463033198</c:v>
                      </c:pt>
                      <c:pt idx="32">
                        <c:v>17.095045298351671</c:v>
                      </c:pt>
                      <c:pt idx="33">
                        <c:v>17.838087701468712</c:v>
                      </c:pt>
                      <c:pt idx="34">
                        <c:v>18.378136868097059</c:v>
                      </c:pt>
                      <c:pt idx="35">
                        <c:v>18.815025648696931</c:v>
                      </c:pt>
                      <c:pt idx="36">
                        <c:v>19.2139644768246</c:v>
                      </c:pt>
                      <c:pt idx="37">
                        <c:v>19.609872411759302</c:v>
                      </c:pt>
                      <c:pt idx="38">
                        <c:v>20.021194308749351</c:v>
                      </c:pt>
                      <c:pt idx="39">
                        <c:v>20.458556429512708</c:v>
                      </c:pt>
                      <c:pt idx="40">
                        <c:v>20.92906736880386</c:v>
                      </c:pt>
                      <c:pt idx="41">
                        <c:v>21.43840616551892</c:v>
                      </c:pt>
                      <c:pt idx="42">
                        <c:v>21.991895161123711</c:v>
                      </c:pt>
                      <c:pt idx="43">
                        <c:v>22.595108105933939</c:v>
                      </c:pt>
                      <c:pt idx="44">
                        <c:v>23.254260424935179</c:v>
                      </c:pt>
                      <c:pt idx="45">
                        <c:v>23.97649657258982</c:v>
                      </c:pt>
                      <c:pt idx="46">
                        <c:v>24.77013166850217</c:v>
                      </c:pt>
                      <c:pt idx="47">
                        <c:v>25.644878261752041</c:v>
                      </c:pt>
                      <c:pt idx="48">
                        <c:v>26.61207635935904</c:v>
                      </c:pt>
                      <c:pt idx="49">
                        <c:v>27.684938382957249</c:v>
                      </c:pt>
                      <c:pt idx="50">
                        <c:v>28.878817286612041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01D-4CD5-BCDE-209B501C214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Spectre_NMOS_GPDK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Id_wrt_Vds_Plot!$K$3:$K$53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-1.1436352553742931E-4</c:v>
                      </c:pt>
                      <c:pt idx="1">
                        <c:v>0.47380336007550933</c:v>
                      </c:pt>
                      <c:pt idx="2">
                        <c:v>0.89636082612319445</c:v>
                      </c:pt>
                      <c:pt idx="3">
                        <c:v>1.267581039264875</c:v>
                      </c:pt>
                      <c:pt idx="4">
                        <c:v>1.583541551766678</c:v>
                      </c:pt>
                      <c:pt idx="5">
                        <c:v>1.838806347731635</c:v>
                      </c:pt>
                      <c:pt idx="6">
                        <c:v>2.0313480964568091</c:v>
                      </c:pt>
                      <c:pt idx="7">
                        <c:v>2.1678532635955441</c:v>
                      </c:pt>
                      <c:pt idx="8">
                        <c:v>2.2617902127172131</c:v>
                      </c:pt>
                      <c:pt idx="9">
                        <c:v>2.3270405910440259</c:v>
                      </c:pt>
                      <c:pt idx="10">
                        <c:v>2.3742080092082163</c:v>
                      </c:pt>
                      <c:pt idx="11">
                        <c:v>2.410277821872139</c:v>
                      </c:pt>
                      <c:pt idx="12">
                        <c:v>2.439556170994011</c:v>
                      </c:pt>
                      <c:pt idx="13">
                        <c:v>2.4646396845348262</c:v>
                      </c:pt>
                      <c:pt idx="14">
                        <c:v>2.4870956598571987</c:v>
                      </c:pt>
                      <c:pt idx="15">
                        <c:v>2.5078816523031469</c:v>
                      </c:pt>
                      <c:pt idx="16">
                        <c:v>2.5275926717127217</c:v>
                      </c:pt>
                      <c:pt idx="17">
                        <c:v>2.5466052901046137</c:v>
                      </c:pt>
                      <c:pt idx="18">
                        <c:v>2.565162166413979</c:v>
                      </c:pt>
                      <c:pt idx="19">
                        <c:v>2.5834223195732577</c:v>
                      </c:pt>
                      <c:pt idx="20">
                        <c:v>2.6014915532754928</c:v>
                      </c:pt>
                      <c:pt idx="21">
                        <c:v>2.6194412122698369</c:v>
                      </c:pt>
                      <c:pt idx="22">
                        <c:v>2.6373199599997408</c:v>
                      </c:pt>
                      <c:pt idx="23">
                        <c:v>2.6551613060913133</c:v>
                      </c:pt>
                      <c:pt idx="24">
                        <c:v>2.6729884982330971</c:v>
                      </c:pt>
                      <c:pt idx="25">
                        <c:v>2.6908177508803308</c:v>
                      </c:pt>
                      <c:pt idx="26">
                        <c:v>2.7086604069064601</c:v>
                      </c:pt>
                      <c:pt idx="27">
                        <c:v>2.726524404021232</c:v>
                      </c:pt>
                      <c:pt idx="28">
                        <c:v>2.7444152833161501</c:v>
                      </c:pt>
                      <c:pt idx="29">
                        <c:v>2.762336928094876</c:v>
                      </c:pt>
                      <c:pt idx="30">
                        <c:v>2.7802920595564173</c:v>
                      </c:pt>
                      <c:pt idx="31">
                        <c:v>2.7982824603758574</c:v>
                      </c:pt>
                      <c:pt idx="32">
                        <c:v>2.8163092820255962</c:v>
                      </c:pt>
                      <c:pt idx="33">
                        <c:v>2.8343732388569722</c:v>
                      </c:pt>
                      <c:pt idx="34">
                        <c:v>2.852474738650586</c:v>
                      </c:pt>
                      <c:pt idx="35">
                        <c:v>2.8706139782892262</c:v>
                      </c:pt>
                      <c:pt idx="36">
                        <c:v>2.8887910148874241</c:v>
                      </c:pt>
                      <c:pt idx="37">
                        <c:v>2.9070058193601711</c:v>
                      </c:pt>
                      <c:pt idx="38">
                        <c:v>2.9252583173374447</c:v>
                      </c:pt>
                      <c:pt idx="39">
                        <c:v>2.9435484208920939</c:v>
                      </c:pt>
                      <c:pt idx="40">
                        <c:v>2.9618760535368547</c:v>
                      </c:pt>
                      <c:pt idx="41">
                        <c:v>2.9802411702303253</c:v>
                      </c:pt>
                      <c:pt idx="42">
                        <c:v>2.9986437736231673</c:v>
                      </c:pt>
                      <c:pt idx="43">
                        <c:v>3.017083927415166</c:v>
                      </c:pt>
                      <c:pt idx="44">
                        <c:v>3.0355617674375979</c:v>
                      </c:pt>
                      <c:pt idx="45">
                        <c:v>3.0540775108947709</c:v>
                      </c:pt>
                      <c:pt idx="46">
                        <c:v>3.0726314640717769</c:v>
                      </c:pt>
                      <c:pt idx="47">
                        <c:v>3.0912240287278743</c:v>
                      </c:pt>
                      <c:pt idx="48">
                        <c:v>3.1098557073342747</c:v>
                      </c:pt>
                      <c:pt idx="49">
                        <c:v>3.128527107275096</c:v>
                      </c:pt>
                      <c:pt idx="50">
                        <c:v>3.1472389441031989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01D-4CD5-BCDE-209B501C214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Spectre_PMOS_GPDK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Id_wrt_Vds_Plot!$Q$3:$Q$53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8.6615651960483618E-8</c:v>
                      </c:pt>
                      <c:pt idx="1">
                        <c:v>0.30466334718299409</c:v>
                      </c:pt>
                      <c:pt idx="2">
                        <c:v>0.55522085734612781</c:v>
                      </c:pt>
                      <c:pt idx="3">
                        <c:v>0.75252824763479287</c:v>
                      </c:pt>
                      <c:pt idx="4">
                        <c:v>0.90383053881785869</c:v>
                      </c:pt>
                      <c:pt idx="5">
                        <c:v>1.0188703389251981</c:v>
                      </c:pt>
                      <c:pt idx="6">
                        <c:v>1.107124072853503</c:v>
                      </c:pt>
                      <c:pt idx="7">
                        <c:v>1.1762799035276459</c:v>
                      </c:pt>
                      <c:pt idx="8">
                        <c:v>1.231998090992686</c:v>
                      </c:pt>
                      <c:pt idx="9">
                        <c:v>1.2782573444905789</c:v>
                      </c:pt>
                      <c:pt idx="10">
                        <c:v>1.317805643743589</c:v>
                      </c:pt>
                      <c:pt idx="11">
                        <c:v>1.352537827977474</c:v>
                      </c:pt>
                      <c:pt idx="12">
                        <c:v>1.383769666013726</c:v>
                      </c:pt>
                      <c:pt idx="13">
                        <c:v>1.412425405197528</c:v>
                      </c:pt>
                      <c:pt idx="14">
                        <c:v>1.439163180078832</c:v>
                      </c:pt>
                      <c:pt idx="15">
                        <c:v>1.46445841710994</c:v>
                      </c:pt>
                      <c:pt idx="16">
                        <c:v>1.488659521467349</c:v>
                      </c:pt>
                      <c:pt idx="17">
                        <c:v>1.5120253895330631</c:v>
                      </c:pt>
                      <c:pt idx="18">
                        <c:v>1.534750970104156</c:v>
                      </c:pt>
                      <c:pt idx="19">
                        <c:v>1.5569849041997821</c:v>
                      </c:pt>
                      <c:pt idx="20">
                        <c:v>1.578841858668125</c:v>
                      </c:pt>
                      <c:pt idx="21">
                        <c:v>1.6004112628189471</c:v>
                      </c:pt>
                      <c:pt idx="22">
                        <c:v>1.6217635761846212</c:v>
                      </c:pt>
                      <c:pt idx="23">
                        <c:v>1.6429548403596321</c:v>
                      </c:pt>
                      <c:pt idx="24">
                        <c:v>1.664030023463408</c:v>
                      </c:pt>
                      <c:pt idx="25">
                        <c:v>1.685025504852959</c:v>
                      </c:pt>
                      <c:pt idx="26">
                        <c:v>1.70597094055904</c:v>
                      </c:pt>
                      <c:pt idx="27">
                        <c:v>1.7268906777405211</c:v>
                      </c:pt>
                      <c:pt idx="28">
                        <c:v>1.7478048372685859</c:v>
                      </c:pt>
                      <c:pt idx="29">
                        <c:v>1.7687301496582208</c:v>
                      </c:pt>
                      <c:pt idx="30">
                        <c:v>1.789680605948714</c:v>
                      </c:pt>
                      <c:pt idx="31">
                        <c:v>1.810667968505081</c:v>
                      </c:pt>
                      <c:pt idx="32">
                        <c:v>1.831702174882025</c:v>
                      </c:pt>
                      <c:pt idx="33">
                        <c:v>1.8527916593936211</c:v>
                      </c:pt>
                      <c:pt idx="34">
                        <c:v>1.873943610869333</c:v>
                      </c:pt>
                      <c:pt idx="35">
                        <c:v>1.8951641805682391</c:v>
                      </c:pt>
                      <c:pt idx="36">
                        <c:v>1.9164586508966479</c:v>
                      </c:pt>
                      <c:pt idx="37">
                        <c:v>1.9378315730990028</c:v>
                      </c:pt>
                      <c:pt idx="38">
                        <c:v>1.95928688023678</c:v>
                      </c:pt>
                      <c:pt idx="39">
                        <c:v>1.9808279803683091</c:v>
                      </c:pt>
                      <c:pt idx="40">
                        <c:v>2.0024578337765822</c:v>
                      </c:pt>
                      <c:pt idx="41">
                        <c:v>2.024179017275439</c:v>
                      </c:pt>
                      <c:pt idx="42">
                        <c:v>2.0459937779954762</c:v>
                      </c:pt>
                      <c:pt idx="43">
                        <c:v>2.067904078562687</c:v>
                      </c:pt>
                      <c:pt idx="44">
                        <c:v>2.0899116352021991</c:v>
                      </c:pt>
                      <c:pt idx="45">
                        <c:v>2.112017950000646</c:v>
                      </c:pt>
                      <c:pt idx="46">
                        <c:v>2.1342243383249939</c:v>
                      </c:pt>
                      <c:pt idx="47">
                        <c:v>2.1565319522087711</c:v>
                      </c:pt>
                      <c:pt idx="48">
                        <c:v>2.1789418003676451</c:v>
                      </c:pt>
                      <c:pt idx="49">
                        <c:v>2.2014547653870151</c:v>
                      </c:pt>
                      <c:pt idx="50">
                        <c:v>2.2240716185283818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1D-4CD5-BCDE-209B501C2144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Spectre_PMOS_PTM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Id_wrt_Vds_Plot!$S$3:$S$53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5.8075403435367095E-12</c:v>
                      </c:pt>
                      <c:pt idx="1">
                        <c:v>0.73075843230226567</c:v>
                      </c:pt>
                      <c:pt idx="2">
                        <c:v>1.064591799770525</c:v>
                      </c:pt>
                      <c:pt idx="3">
                        <c:v>1.183137911517923</c:v>
                      </c:pt>
                      <c:pt idx="4">
                        <c:v>1.2491476410026061</c:v>
                      </c:pt>
                      <c:pt idx="5">
                        <c:v>1.3020464184279061</c:v>
                      </c:pt>
                      <c:pt idx="6">
                        <c:v>1.350986185696025</c:v>
                      </c:pt>
                      <c:pt idx="7">
                        <c:v>1.3986360136589171</c:v>
                      </c:pt>
                      <c:pt idx="8">
                        <c:v>1.445943176515545</c:v>
                      </c:pt>
                      <c:pt idx="9">
                        <c:v>1.4932971045140819</c:v>
                      </c:pt>
                      <c:pt idx="10">
                        <c:v>1.5408778522928821</c:v>
                      </c:pt>
                      <c:pt idx="11">
                        <c:v>1.5887778629917322</c:v>
                      </c:pt>
                      <c:pt idx="12">
                        <c:v>1.637049666212415</c:v>
                      </c:pt>
                      <c:pt idx="13">
                        <c:v>1.6857262350698961</c:v>
                      </c:pt>
                      <c:pt idx="14">
                        <c:v>1.7348302729993779</c:v>
                      </c:pt>
                      <c:pt idx="15">
                        <c:v>1.7843786879175669</c:v>
                      </c:pt>
                      <c:pt idx="16">
                        <c:v>1.8343848536372109</c:v>
                      </c:pt>
                      <c:pt idx="17">
                        <c:v>1.8848598066045601</c:v>
                      </c:pt>
                      <c:pt idx="18">
                        <c:v>1.9358129103373238</c:v>
                      </c:pt>
                      <c:pt idx="19">
                        <c:v>1.9872522445101208</c:v>
                      </c:pt>
                      <c:pt idx="20">
                        <c:v>2.0391848469147633</c:v>
                      </c:pt>
                      <c:pt idx="21">
                        <c:v>2.0916168741451711</c:v>
                      </c:pt>
                      <c:pt idx="22">
                        <c:v>2.144553715696949</c:v>
                      </c:pt>
                      <c:pt idx="23">
                        <c:v>2.1980000801959831</c:v>
                      </c:pt>
                      <c:pt idx="24">
                        <c:v>2.2519600640974398</c:v>
                      </c:pt>
                      <c:pt idx="25">
                        <c:v>2.3064372087183558</c:v>
                      </c:pt>
                      <c:pt idx="26">
                        <c:v>2.3614345490304931</c:v>
                      </c:pt>
                      <c:pt idx="27">
                        <c:v>2.4169546562892359</c:v>
                      </c:pt>
                      <c:pt idx="28">
                        <c:v>2.4729996758131869</c:v>
                      </c:pt>
                      <c:pt idx="29">
                        <c:v>2.5295713607902721</c:v>
                      </c:pt>
                      <c:pt idx="30">
                        <c:v>2.5866711027273679</c:v>
                      </c:pt>
                      <c:pt idx="31">
                        <c:v>2.6442999590022089</c:v>
                      </c:pt>
                      <c:pt idx="32">
                        <c:v>2.7024586778771873</c:v>
                      </c:pt>
                      <c:pt idx="33">
                        <c:v>2.7611477212672102</c:v>
                      </c:pt>
                      <c:pt idx="34">
                        <c:v>2.8203672855075914</c:v>
                      </c:pt>
                      <c:pt idx="35">
                        <c:v>2.8801173203334209</c:v>
                      </c:pt>
                      <c:pt idx="36">
                        <c:v>2.9403975462540979</c:v>
                      </c:pt>
                      <c:pt idx="37">
                        <c:v>3.0012074704858942</c:v>
                      </c:pt>
                      <c:pt idx="38">
                        <c:v>3.0625464015859518</c:v>
                      </c:pt>
                      <c:pt idx="39">
                        <c:v>3.1244134629157578</c:v>
                      </c:pt>
                      <c:pt idx="40">
                        <c:v>3.1868076050481071</c:v>
                      </c:pt>
                      <c:pt idx="41">
                        <c:v>3.24972761721954</c:v>
                      </c:pt>
                      <c:pt idx="42">
                        <c:v>3.3131721379192163</c:v>
                      </c:pt>
                      <c:pt idx="43">
                        <c:v>3.3771396646957168</c:v>
                      </c:pt>
                      <c:pt idx="44">
                        <c:v>3.441628563254532</c:v>
                      </c:pt>
                      <c:pt idx="45">
                        <c:v>3.5066370759118</c:v>
                      </c:pt>
                      <c:pt idx="46">
                        <c:v>3.5721633294622421</c:v>
                      </c:pt>
                      <c:pt idx="47">
                        <c:v>3.6382053425141372</c:v>
                      </c:pt>
                      <c:pt idx="48">
                        <c:v>3.7047610323378888</c:v>
                      </c:pt>
                      <c:pt idx="49">
                        <c:v>3.7718282212705003</c:v>
                      </c:pt>
                      <c:pt idx="50">
                        <c:v>3.8394046427140123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01D-4CD5-BCDE-209B501C2144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Spectre_PMOS_SAED14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Id_wrt_Vds_Plot!$U$3:$U$53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1.938223612546719E-7</c:v>
                      </c:pt>
                      <c:pt idx="1">
                        <c:v>1.694662859387283</c:v>
                      </c:pt>
                      <c:pt idx="2">
                        <c:v>3.1506332870441058</c:v>
                      </c:pt>
                      <c:pt idx="3">
                        <c:v>4.3727195840800013</c:v>
                      </c:pt>
                      <c:pt idx="4">
                        <c:v>5.3709460283852444</c:v>
                      </c:pt>
                      <c:pt idx="5">
                        <c:v>6.1638843583897414</c:v>
                      </c:pt>
                      <c:pt idx="6">
                        <c:v>6.7796170049203051</c:v>
                      </c:pt>
                      <c:pt idx="7">
                        <c:v>7.2529163806679291</c:v>
                      </c:pt>
                      <c:pt idx="8">
                        <c:v>7.6195863125005632</c:v>
                      </c:pt>
                      <c:pt idx="9">
                        <c:v>7.910875833184547</c:v>
                      </c:pt>
                      <c:pt idx="10">
                        <c:v>8.150526127491295</c:v>
                      </c:pt>
                      <c:pt idx="11">
                        <c:v>8.3548143656589051</c:v>
                      </c:pt>
                      <c:pt idx="12">
                        <c:v>8.5342579290937302</c:v>
                      </c:pt>
                      <c:pt idx="13">
                        <c:v>8.6955531711357015</c:v>
                      </c:pt>
                      <c:pt idx="14">
                        <c:v>8.8430592526459577</c:v>
                      </c:pt>
                      <c:pt idx="15">
                        <c:v>8.9797410556001562</c:v>
                      </c:pt>
                      <c:pt idx="16">
                        <c:v>9.1077160477022545</c:v>
                      </c:pt>
                      <c:pt idx="17">
                        <c:v>9.2285622868689146</c:v>
                      </c:pt>
                      <c:pt idx="18">
                        <c:v>9.3434947123756942</c:v>
                      </c:pt>
                      <c:pt idx="19">
                        <c:v>9.4534708626427904</c:v>
                      </c:pt>
                      <c:pt idx="20">
                        <c:v>9.5592582281292433</c:v>
                      </c:pt>
                      <c:pt idx="21">
                        <c:v>9.6614797833904102</c:v>
                      </c:pt>
                      <c:pt idx="22">
                        <c:v>9.7606463104118522</c:v>
                      </c:pt>
                      <c:pt idx="23">
                        <c:v>9.8571801911299115</c:v>
                      </c:pt>
                      <c:pt idx="24">
                        <c:v>9.9514333712286902</c:v>
                      </c:pt>
                      <c:pt idx="25">
                        <c:v>10.043701165507009</c:v>
                      </c:pt>
                      <c:pt idx="26">
                        <c:v>10.1342330037144</c:v>
                      </c:pt>
                      <c:pt idx="27">
                        <c:v>10.22324087694361</c:v>
                      </c:pt>
                      <c:pt idx="28">
                        <c:v>10.31090602993083</c:v>
                      </c:pt>
                      <c:pt idx="29">
                        <c:v>10.397384300649591</c:v>
                      </c:pt>
                      <c:pt idx="30">
                        <c:v>10.482810407851179</c:v>
                      </c:pt>
                      <c:pt idx="31">
                        <c:v>10.56730141456404</c:v>
                      </c:pt>
                      <c:pt idx="32">
                        <c:v>10.650959542074951</c:v>
                      </c:pt>
                      <c:pt idx="33">
                        <c:v>10.7338744689657</c:v>
                      </c:pt>
                      <c:pt idx="34">
                        <c:v>10.81612521962472</c:v>
                      </c:pt>
                      <c:pt idx="35">
                        <c:v>10.89778172372225</c:v>
                      </c:pt>
                      <c:pt idx="36">
                        <c:v>10.97890611057851</c:v>
                      </c:pt>
                      <c:pt idx="37">
                        <c:v>11.059553788839819</c:v>
                      </c:pt>
                      <c:pt idx="38">
                        <c:v>11.1397743514183</c:v>
                      </c:pt>
                      <c:pt idx="39">
                        <c:v>11.21961233751709</c:v>
                      </c:pt>
                      <c:pt idx="40">
                        <c:v>11.29910787720871</c:v>
                      </c:pt>
                      <c:pt idx="41">
                        <c:v>11.378297239045171</c:v>
                      </c:pt>
                      <c:pt idx="42">
                        <c:v>11.457213297243831</c:v>
                      </c:pt>
                      <c:pt idx="43">
                        <c:v>11.535885931875971</c:v>
                      </c:pt>
                      <c:pt idx="44">
                        <c:v>11.61434237300411</c:v>
                      </c:pt>
                      <c:pt idx="45">
                        <c:v>11.69260749773108</c:v>
                      </c:pt>
                      <c:pt idx="46">
                        <c:v>11.7707040875309</c:v>
                      </c:pt>
                      <c:pt idx="47">
                        <c:v>11.84865305194795</c:v>
                      </c:pt>
                      <c:pt idx="48">
                        <c:v>11.926473623710629</c:v>
                      </c:pt>
                      <c:pt idx="49">
                        <c:v>12.00418352946024</c:v>
                      </c:pt>
                      <c:pt idx="50">
                        <c:v>12.08179913960471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01D-4CD5-BCDE-209B501C2144}"/>
                  </c:ext>
                </c:extLst>
              </c15:ser>
            </c15:filteredLineSeries>
          </c:ext>
        </c:extLst>
      </c:lineChart>
      <c:catAx>
        <c:axId val="119541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Vds</a:t>
                </a:r>
                <a:r>
                  <a:rPr lang="en-US" baseline="0"/>
                  <a:t> [mV]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1195415119"/>
        <c:crosses val="autoZero"/>
        <c:auto val="1"/>
        <c:lblAlgn val="ctr"/>
        <c:lblOffset val="100"/>
        <c:noMultiLvlLbl val="0"/>
      </c:catAx>
      <c:valAx>
        <c:axId val="119541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o-RO"/>
                  <a:t>Id</a:t>
                </a:r>
                <a:r>
                  <a:rPr lang="ro-RO" baseline="0"/>
                  <a:t> </a:t>
                </a:r>
                <a:r>
                  <a:rPr lang="en-US" baseline="0"/>
                  <a:t>[</a:t>
                </a:r>
                <a:r>
                  <a:rPr lang="el-GR" baseline="0"/>
                  <a:t>μ</a:t>
                </a:r>
                <a:r>
                  <a:rPr lang="en-US" baseline="0"/>
                  <a:t>A]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119541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ptos Narrow" panose="020B0004020202020204" pitchFamily="34" charset="0"/>
              </a:rPr>
              <a:t>√</a:t>
            </a:r>
            <a:r>
              <a:rPr lang="en-US"/>
              <a:t>Id(V</a:t>
            </a:r>
            <a:r>
              <a:rPr lang="ro-RO"/>
              <a:t>g</a:t>
            </a:r>
            <a:r>
              <a:rPr lang="en-US"/>
              <a:t>s)</a:t>
            </a:r>
            <a:endParaRPr lang="ro-R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Sqrt_of_Id_wrt_Vgs_Plot!$G$2</c:f>
              <c:strCache>
                <c:ptCount val="1"/>
                <c:pt idx="0">
                  <c:v>Our_model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Sqrt_of_Id_wrt_Vgs_Plot!$A$3:$A$53</c:f>
              <c:numCache>
                <c:formatCode>General</c:formatCode>
                <c:ptCount val="51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192.00000000000009</c:v>
                </c:pt>
                <c:pt idx="13">
                  <c:v>208.00000000000011</c:v>
                </c:pt>
                <c:pt idx="14">
                  <c:v>224.00000000000009</c:v>
                </c:pt>
                <c:pt idx="15">
                  <c:v>240.00000000000011</c:v>
                </c:pt>
                <c:pt idx="16">
                  <c:v>256.00000000000011</c:v>
                </c:pt>
                <c:pt idx="17">
                  <c:v>272.00000000000006</c:v>
                </c:pt>
                <c:pt idx="18">
                  <c:v>288.00000000000011</c:v>
                </c:pt>
                <c:pt idx="19">
                  <c:v>304.00000000000023</c:v>
                </c:pt>
                <c:pt idx="20">
                  <c:v>320.00000000000017</c:v>
                </c:pt>
                <c:pt idx="21">
                  <c:v>336.00000000000017</c:v>
                </c:pt>
                <c:pt idx="22">
                  <c:v>352.00000000000023</c:v>
                </c:pt>
                <c:pt idx="23">
                  <c:v>368.00000000000023</c:v>
                </c:pt>
                <c:pt idx="24">
                  <c:v>384.00000000000017</c:v>
                </c:pt>
                <c:pt idx="25">
                  <c:v>400.00000000000017</c:v>
                </c:pt>
                <c:pt idx="26">
                  <c:v>416.00000000000034</c:v>
                </c:pt>
                <c:pt idx="27">
                  <c:v>432.00000000000028</c:v>
                </c:pt>
                <c:pt idx="28">
                  <c:v>448.00000000000028</c:v>
                </c:pt>
                <c:pt idx="29">
                  <c:v>464.00000000000028</c:v>
                </c:pt>
                <c:pt idx="30">
                  <c:v>480.00000000000034</c:v>
                </c:pt>
                <c:pt idx="31">
                  <c:v>496.00000000000028</c:v>
                </c:pt>
                <c:pt idx="32">
                  <c:v>512.00000000000034</c:v>
                </c:pt>
                <c:pt idx="33">
                  <c:v>528.00000000000034</c:v>
                </c:pt>
                <c:pt idx="34">
                  <c:v>544.00000000000034</c:v>
                </c:pt>
                <c:pt idx="35">
                  <c:v>560.00000000000034</c:v>
                </c:pt>
                <c:pt idx="36">
                  <c:v>576.00000000000045</c:v>
                </c:pt>
                <c:pt idx="37">
                  <c:v>592.00000000000045</c:v>
                </c:pt>
                <c:pt idx="38">
                  <c:v>608.00000000000045</c:v>
                </c:pt>
                <c:pt idx="39">
                  <c:v>624.00000000000045</c:v>
                </c:pt>
                <c:pt idx="40">
                  <c:v>640.00000000000045</c:v>
                </c:pt>
                <c:pt idx="41">
                  <c:v>656.00000000000045</c:v>
                </c:pt>
                <c:pt idx="42">
                  <c:v>672.00000000000045</c:v>
                </c:pt>
                <c:pt idx="43">
                  <c:v>688.00000000000045</c:v>
                </c:pt>
                <c:pt idx="44">
                  <c:v>704.00000000000057</c:v>
                </c:pt>
                <c:pt idx="45">
                  <c:v>720.00000000000057</c:v>
                </c:pt>
                <c:pt idx="46">
                  <c:v>736.00000000000057</c:v>
                </c:pt>
                <c:pt idx="47">
                  <c:v>752.00000000000057</c:v>
                </c:pt>
                <c:pt idx="48">
                  <c:v>768.00000000000057</c:v>
                </c:pt>
                <c:pt idx="49">
                  <c:v>784.00000000000057</c:v>
                </c:pt>
                <c:pt idx="50">
                  <c:v>800</c:v>
                </c:pt>
              </c:numCache>
            </c:numRef>
          </c:cat>
          <c:val>
            <c:numRef>
              <c:f>Sqrt_of_Id_wrt_Vgs_Plot!$G$2:$G$53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0.36720711371293846</c:v>
                </c:pt>
                <c:pt idx="23">
                  <c:v>0.72782419035688872</c:v>
                </c:pt>
                <c:pt idx="24">
                  <c:v>1.0809921229815054</c:v>
                </c:pt>
                <c:pt idx="25">
                  <c:v>1.4279270326636198</c:v>
                </c:pt>
                <c:pt idx="26">
                  <c:v>1.7698184999399271</c:v>
                </c:pt>
                <c:pt idx="27">
                  <c:v>2.1078215288240765</c:v>
                </c:pt>
                <c:pt idx="28">
                  <c:v>2.4430486393769577</c:v>
                </c:pt>
                <c:pt idx="29">
                  <c:v>2.776562268092468</c:v>
                </c:pt>
                <c:pt idx="30">
                  <c:v>3.1093676457451522</c:v>
                </c:pt>
                <c:pt idx="31">
                  <c:v>3.4424063040122106</c:v>
                </c:pt>
                <c:pt idx="32">
                  <c:v>3.7765503363922566</c:v>
                </c:pt>
                <c:pt idx="33">
                  <c:v>4.1125975075723451</c:v>
                </c:pt>
                <c:pt idx="34">
                  <c:v>4.4512672707152134</c:v>
                </c:pt>
                <c:pt idx="35">
                  <c:v>4.793197716564479</c:v>
                </c:pt>
                <c:pt idx="36">
                  <c:v>5.1389434440958901</c:v>
                </c:pt>
                <c:pt idx="37">
                  <c:v>5.4889743116443777</c:v>
                </c:pt>
                <c:pt idx="38">
                  <c:v>5.8436750014882062</c:v>
                </c:pt>
                <c:pt idx="39">
                  <c:v>6.203345310686978</c:v>
                </c:pt>
                <c:pt idx="40">
                  <c:v>6.5682010668971067</c:v>
                </c:pt>
                <c:pt idx="41">
                  <c:v>6.9383755597691721</c:v>
                </c:pt>
                <c:pt idx="42">
                  <c:v>7.3139213758073947</c:v>
                </c:pt>
                <c:pt idx="43">
                  <c:v>7.6948125264085361</c:v>
                </c:pt>
                <c:pt idx="44">
                  <c:v>8.0809467642096351</c:v>
                </c:pt>
                <c:pt idx="45">
                  <c:v>8.4721479908378132</c:v>
                </c:pt>
                <c:pt idx="46">
                  <c:v>8.8681686686939489</c:v>
                </c:pt>
                <c:pt idx="47">
                  <c:v>9.2686921596480385</c:v>
                </c:pt>
                <c:pt idx="48">
                  <c:v>9.6733349237526749</c:v>
                </c:pt>
                <c:pt idx="49">
                  <c:v>10.081648520720794</c:v>
                </c:pt>
                <c:pt idx="50">
                  <c:v>10.493121365542924</c:v>
                </c:pt>
                <c:pt idx="51">
                  <c:v>10.907180196944696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7E-417E-8A60-2CE188D94480}"/>
            </c:ext>
          </c:extLst>
        </c:ser>
        <c:ser>
          <c:idx val="1"/>
          <c:order val="1"/>
          <c:tx>
            <c:strRef>
              <c:f>Sqrt_of_Id_wrt_Vgs_Plot!$H$2</c:f>
              <c:strCache>
                <c:ptCount val="1"/>
                <c:pt idx="0">
                  <c:v>Spline_Interpolation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Sqrt_of_Id_wrt_Vgs_Plot!$A$3:$A$53</c:f>
              <c:numCache>
                <c:formatCode>General</c:formatCode>
                <c:ptCount val="51"/>
                <c:pt idx="0">
                  <c:v>0</c:v>
                </c:pt>
                <c:pt idx="1">
                  <c:v>16</c:v>
                </c:pt>
                <c:pt idx="2">
                  <c:v>32</c:v>
                </c:pt>
                <c:pt idx="3">
                  <c:v>48</c:v>
                </c:pt>
                <c:pt idx="4">
                  <c:v>64</c:v>
                </c:pt>
                <c:pt idx="5">
                  <c:v>80</c:v>
                </c:pt>
                <c:pt idx="6">
                  <c:v>96</c:v>
                </c:pt>
                <c:pt idx="7">
                  <c:v>112</c:v>
                </c:pt>
                <c:pt idx="8">
                  <c:v>128</c:v>
                </c:pt>
                <c:pt idx="9">
                  <c:v>144</c:v>
                </c:pt>
                <c:pt idx="10">
                  <c:v>160</c:v>
                </c:pt>
                <c:pt idx="11">
                  <c:v>176</c:v>
                </c:pt>
                <c:pt idx="12">
                  <c:v>192.00000000000009</c:v>
                </c:pt>
                <c:pt idx="13">
                  <c:v>208.00000000000011</c:v>
                </c:pt>
                <c:pt idx="14">
                  <c:v>224.00000000000009</c:v>
                </c:pt>
                <c:pt idx="15">
                  <c:v>240.00000000000011</c:v>
                </c:pt>
                <c:pt idx="16">
                  <c:v>256.00000000000011</c:v>
                </c:pt>
                <c:pt idx="17">
                  <c:v>272.00000000000006</c:v>
                </c:pt>
                <c:pt idx="18">
                  <c:v>288.00000000000011</c:v>
                </c:pt>
                <c:pt idx="19">
                  <c:v>304.00000000000023</c:v>
                </c:pt>
                <c:pt idx="20">
                  <c:v>320.00000000000017</c:v>
                </c:pt>
                <c:pt idx="21">
                  <c:v>336.00000000000017</c:v>
                </c:pt>
                <c:pt idx="22">
                  <c:v>352.00000000000023</c:v>
                </c:pt>
                <c:pt idx="23">
                  <c:v>368.00000000000023</c:v>
                </c:pt>
                <c:pt idx="24">
                  <c:v>384.00000000000017</c:v>
                </c:pt>
                <c:pt idx="25">
                  <c:v>400.00000000000017</c:v>
                </c:pt>
                <c:pt idx="26">
                  <c:v>416.00000000000034</c:v>
                </c:pt>
                <c:pt idx="27">
                  <c:v>432.00000000000028</c:v>
                </c:pt>
                <c:pt idx="28">
                  <c:v>448.00000000000028</c:v>
                </c:pt>
                <c:pt idx="29">
                  <c:v>464.00000000000028</c:v>
                </c:pt>
                <c:pt idx="30">
                  <c:v>480.00000000000034</c:v>
                </c:pt>
                <c:pt idx="31">
                  <c:v>496.00000000000028</c:v>
                </c:pt>
                <c:pt idx="32">
                  <c:v>512.00000000000034</c:v>
                </c:pt>
                <c:pt idx="33">
                  <c:v>528.00000000000034</c:v>
                </c:pt>
                <c:pt idx="34">
                  <c:v>544.00000000000034</c:v>
                </c:pt>
                <c:pt idx="35">
                  <c:v>560.00000000000034</c:v>
                </c:pt>
                <c:pt idx="36">
                  <c:v>576.00000000000045</c:v>
                </c:pt>
                <c:pt idx="37">
                  <c:v>592.00000000000045</c:v>
                </c:pt>
                <c:pt idx="38">
                  <c:v>608.00000000000045</c:v>
                </c:pt>
                <c:pt idx="39">
                  <c:v>624.00000000000045</c:v>
                </c:pt>
                <c:pt idx="40">
                  <c:v>640.00000000000045</c:v>
                </c:pt>
                <c:pt idx="41">
                  <c:v>656.00000000000045</c:v>
                </c:pt>
                <c:pt idx="42">
                  <c:v>672.00000000000045</c:v>
                </c:pt>
                <c:pt idx="43">
                  <c:v>688.00000000000045</c:v>
                </c:pt>
                <c:pt idx="44">
                  <c:v>704.00000000000057</c:v>
                </c:pt>
                <c:pt idx="45">
                  <c:v>720.00000000000057</c:v>
                </c:pt>
                <c:pt idx="46">
                  <c:v>736.00000000000057</c:v>
                </c:pt>
                <c:pt idx="47">
                  <c:v>752.00000000000057</c:v>
                </c:pt>
                <c:pt idx="48">
                  <c:v>768.00000000000057</c:v>
                </c:pt>
                <c:pt idx="49">
                  <c:v>784.00000000000057</c:v>
                </c:pt>
                <c:pt idx="50">
                  <c:v>800</c:v>
                </c:pt>
              </c:numCache>
            </c:numRef>
          </c:cat>
          <c:val>
            <c:numRef>
              <c:f>Sqrt_of_Id_wrt_Vgs_Plot!$H$2:$H$53</c:f>
              <c:numCache>
                <c:formatCode>General</c:formatCode>
                <c:ptCount val="52"/>
                <c:pt idx="0">
                  <c:v>0</c:v>
                </c:pt>
                <c:pt idx="1">
                  <c:v>4.05406836627706E-3</c:v>
                </c:pt>
                <c:pt idx="2">
                  <c:v>5.23692235447497E-3</c:v>
                </c:pt>
                <c:pt idx="3">
                  <c:v>6.7796790296027502E-3</c:v>
                </c:pt>
                <c:pt idx="4">
                  <c:v>8.7940227875196106E-3</c:v>
                </c:pt>
                <c:pt idx="5">
                  <c:v>1.1419761733474899E-2</c:v>
                </c:pt>
                <c:pt idx="6">
                  <c:v>1.4839211273687E-2</c:v>
                </c:pt>
                <c:pt idx="7">
                  <c:v>1.9289755835760699E-2</c:v>
                </c:pt>
                <c:pt idx="8">
                  <c:v>2.5080195581675301E-2</c:v>
                </c:pt>
                <c:pt idx="9">
                  <c:v>3.2611900628391803E-2</c:v>
                </c:pt>
                <c:pt idx="10">
                  <c:v>4.2406037663671903E-2</c:v>
                </c:pt>
                <c:pt idx="11">
                  <c:v>5.5138328209250402E-2</c:v>
                </c:pt>
                <c:pt idx="12">
                  <c:v>7.1682818053335096E-2</c:v>
                </c:pt>
                <c:pt idx="13">
                  <c:v>9.3165687146898199E-2</c:v>
                </c:pt>
                <c:pt idx="14">
                  <c:v>0.12102857942709799</c:v>
                </c:pt>
                <c:pt idx="15">
                  <c:v>0.15709707606926801</c:v>
                </c:pt>
                <c:pt idx="16">
                  <c:v>0.203641801387658</c:v>
                </c:pt>
                <c:pt idx="17">
                  <c:v>0.26340504834746797</c:v>
                </c:pt>
                <c:pt idx="18">
                  <c:v>0.33954548794678002</c:v>
                </c:pt>
                <c:pt idx="19">
                  <c:v>0.43543933485032799</c:v>
                </c:pt>
                <c:pt idx="20">
                  <c:v>0.554299713538429</c:v>
                </c:pt>
                <c:pt idx="21">
                  <c:v>0.69866978668541402</c:v>
                </c:pt>
                <c:pt idx="22">
                  <c:v>0.86997404671726697</c:v>
                </c:pt>
                <c:pt idx="23">
                  <c:v>1.06833998356917</c:v>
                </c:pt>
                <c:pt idx="24">
                  <c:v>1.29274999789873</c:v>
                </c:pt>
                <c:pt idx="25">
                  <c:v>1.5413897941816601</c:v>
                </c:pt>
                <c:pt idx="26">
                  <c:v>1.81200709897235</c:v>
                </c:pt>
                <c:pt idx="27">
                  <c:v>2.10217428886964</c:v>
                </c:pt>
                <c:pt idx="28">
                  <c:v>2.4094412608528701</c:v>
                </c:pt>
                <c:pt idx="29">
                  <c:v>2.7314088863861001</c:v>
                </c:pt>
                <c:pt idx="30">
                  <c:v>3.0657574436314898</c:v>
                </c:pt>
                <c:pt idx="31">
                  <c:v>3.41025306502118</c:v>
                </c:pt>
                <c:pt idx="32">
                  <c:v>3.7627431991565801</c:v>
                </c:pt>
                <c:pt idx="33">
                  <c:v>4.1211455046229499</c:v>
                </c:pt>
                <c:pt idx="34">
                  <c:v>4.4834354917569703</c:v>
                </c:pt>
                <c:pt idx="35">
                  <c:v>4.8476435558056004</c:v>
                </c:pt>
                <c:pt idx="36">
                  <c:v>5.2118728749063399</c:v>
                </c:pt>
                <c:pt idx="37">
                  <c:v>5.5743397656158304</c:v>
                </c:pt>
                <c:pt idx="38">
                  <c:v>5.9334240960757203</c:v>
                </c:pt>
                <c:pt idx="39">
                  <c:v>6.2877118757331498</c:v>
                </c:pt>
                <c:pt idx="40">
                  <c:v>6.63601820577881</c:v>
                </c:pt>
                <c:pt idx="41">
                  <c:v>6.9773888433779403</c:v>
                </c:pt>
                <c:pt idx="42">
                  <c:v>7.31108539129107</c:v>
                </c:pt>
                <c:pt idx="43">
                  <c:v>7.6365610047897601</c:v>
                </c:pt>
                <c:pt idx="44">
                  <c:v>7.9534324207999303</c:v>
                </c:pt>
                <c:pt idx="45">
                  <c:v>8.2614521544131794</c:v>
                </c:pt>
                <c:pt idx="46">
                  <c:v>8.5604829780010991</c:v>
                </c:pt>
                <c:pt idx="47">
                  <c:v>8.8504756038391204</c:v>
                </c:pt>
                <c:pt idx="48">
                  <c:v>9.1314497772732608</c:v>
                </c:pt>
                <c:pt idx="49">
                  <c:v>9.4034786086685909</c:v>
                </c:pt>
                <c:pt idx="50">
                  <c:v>9.6666757994644001</c:v>
                </c:pt>
                <c:pt idx="51">
                  <c:v>9.9211853610904193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7E-417E-8A60-2CE188D94480}"/>
            </c:ext>
          </c:extLst>
        </c:ser>
        <c:ser>
          <c:idx val="2"/>
          <c:order val="2"/>
          <c:tx>
            <c:v>Spectre_NMOS_SAED14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Sqrt_of_Id_wrt_Vgs_Plot!$O$3:$O$53</c:f>
              <c:numCache>
                <c:formatCode>General</c:formatCode>
                <c:ptCount val="51"/>
                <c:pt idx="0">
                  <c:v>4.0632497900526194E-3</c:v>
                </c:pt>
                <c:pt idx="1">
                  <c:v>5.2400550200745969E-3</c:v>
                </c:pt>
                <c:pt idx="2">
                  <c:v>6.7818750655837942E-3</c:v>
                </c:pt>
                <c:pt idx="3">
                  <c:v>8.7956671752977018E-3</c:v>
                </c:pt>
                <c:pt idx="4">
                  <c:v>1.1421177477386607E-2</c:v>
                </c:pt>
                <c:pt idx="5">
                  <c:v>1.484064319252199E-2</c:v>
                </c:pt>
                <c:pt idx="6">
                  <c:v>1.9291396076313527E-2</c:v>
                </c:pt>
                <c:pt idx="7">
                  <c:v>2.5082213624787887E-2</c:v>
                </c:pt>
                <c:pt idx="8">
                  <c:v>3.261446901839378E-2</c:v>
                </c:pt>
                <c:pt idx="9">
                  <c:v>4.2409353950695595E-2</c:v>
                </c:pt>
                <c:pt idx="10">
                  <c:v>5.5142635785945047E-2</c:v>
                </c:pt>
                <c:pt idx="11">
                  <c:v>7.1688429088241842E-2</c:v>
                </c:pt>
                <c:pt idx="12">
                  <c:v>9.3173011496408109E-2</c:v>
                </c:pt>
                <c:pt idx="13">
                  <c:v>0.12103816504169666</c:v>
                </c:pt>
                <c:pt idx="14">
                  <c:v>0.1571096696369903</c:v>
                </c:pt>
                <c:pt idx="15">
                  <c:v>0.20365844303946612</c:v>
                </c:pt>
                <c:pt idx="16">
                  <c:v>0.26342721933430596</c:v>
                </c:pt>
                <c:pt idx="17">
                  <c:v>0.33957532701544541</c:v>
                </c:pt>
                <c:pt idx="18">
                  <c:v>0.43547990957701055</c:v>
                </c:pt>
                <c:pt idx="19">
                  <c:v>0.55435526498907084</c:v>
                </c:pt>
                <c:pt idx="20">
                  <c:v>0.69874580377182749</c:v>
                </c:pt>
                <c:pt idx="21">
                  <c:v>0.87007707823399572</c:v>
                </c:pt>
                <c:pt idx="22">
                  <c:v>1.0684772706857086</c:v>
                </c:pt>
                <c:pt idx="23">
                  <c:v>1.2929291209373586</c:v>
                </c:pt>
                <c:pt idx="24">
                  <c:v>1.5416184609434316</c:v>
                </c:pt>
                <c:pt idx="25">
                  <c:v>1.8122930813701028</c:v>
                </c:pt>
                <c:pt idx="26">
                  <c:v>2.1025254635538437</c:v>
                </c:pt>
                <c:pt idx="27">
                  <c:v>2.4098657180443253</c:v>
                </c:pt>
                <c:pt idx="28">
                  <c:v>2.7319150940665748</c:v>
                </c:pt>
                <c:pt idx="29">
                  <c:v>3.0663544763492823</c:v>
                </c:pt>
                <c:pt idx="30">
                  <c:v>3.4109509299777008</c:v>
                </c:pt>
                <c:pt idx="31">
                  <c:v>3.763553305269236</c:v>
                </c:pt>
                <c:pt idx="32">
                  <c:v>4.1220812799320585</c:v>
                </c:pt>
                <c:pt idx="33">
                  <c:v>4.4845130222433784</c:v>
                </c:pt>
                <c:pt idx="34">
                  <c:v>4.8488819609950777</c:v>
                </c:pt>
                <c:pt idx="35">
                  <c:v>5.2132941380360807</c:v>
                </c:pt>
                <c:pt idx="36">
                  <c:v>5.5759679771740105</c:v>
                </c:pt>
                <c:pt idx="37">
                  <c:v>5.9352843554172043</c:v>
                </c:pt>
                <c:pt idx="38">
                  <c:v>6.2898291872977516</c:v>
                </c:pt>
                <c:pt idx="39">
                  <c:v>6.6384165958476391</c:v>
                </c:pt>
                <c:pt idx="40">
                  <c:v>6.9800907612182499</c:v>
                </c:pt>
                <c:pt idx="41">
                  <c:v>7.3141113541223355</c:v>
                </c:pt>
                <c:pt idx="42">
                  <c:v>7.6399294125034114</c:v>
                </c:pt>
                <c:pt idx="43">
                  <c:v>7.9571594735986722</c:v>
                </c:pt>
                <c:pt idx="44">
                  <c:v>8.2655518265561856</c:v>
                </c:pt>
                <c:pt idx="45">
                  <c:v>8.5649670196352545</c:v>
                </c:pt>
                <c:pt idx="46">
                  <c:v>8.8553535563438182</c:v>
                </c:pt>
                <c:pt idx="47">
                  <c:v>9.136728995891028</c:v>
                </c:pt>
                <c:pt idx="48">
                  <c:v>9.409164290840307</c:v>
                </c:pt>
                <c:pt idx="49">
                  <c:v>9.6727710195814769</c:v>
                </c:pt>
                <c:pt idx="50">
                  <c:v>9.9276911132828687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D7-43CB-9F3D-03981B301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412719"/>
        <c:axId val="1195415119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v>Spectre_NMOS_PTM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Sqrt_of_Id_wrt_Vgs_Plot!$M$3:$M$53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1.7164256581809084E-3</c:v>
                      </c:pt>
                      <c:pt idx="1">
                        <c:v>2.1560826872207353E-3</c:v>
                      </c:pt>
                      <c:pt idx="2">
                        <c:v>2.7409076831086958E-3</c:v>
                      </c:pt>
                      <c:pt idx="3">
                        <c:v>3.5113921242079073E-3</c:v>
                      </c:pt>
                      <c:pt idx="4">
                        <c:v>4.5202855637166911E-3</c:v>
                      </c:pt>
                      <c:pt idx="5">
                        <c:v>5.8363571872563722E-3</c:v>
                      </c:pt>
                      <c:pt idx="6">
                        <c:v>7.5491646362893482E-3</c:v>
                      </c:pt>
                      <c:pt idx="7">
                        <c:v>9.7751867325490613E-3</c:v>
                      </c:pt>
                      <c:pt idx="8">
                        <c:v>1.2665756009892991E-2</c:v>
                      </c:pt>
                      <c:pt idx="9">
                        <c:v>1.6417336108382974E-2</c:v>
                      </c:pt>
                      <c:pt idx="10">
                        <c:v>2.1284834492084792E-2</c:v>
                      </c:pt>
                      <c:pt idx="11">
                        <c:v>2.7598826565859658E-2</c:v>
                      </c:pt>
                      <c:pt idx="12">
                        <c:v>3.5787793690442785E-2</c:v>
                      </c:pt>
                      <c:pt idx="13">
                        <c:v>4.6406735230887668E-2</c:v>
                      </c:pt>
                      <c:pt idx="14">
                        <c:v>6.0173768883580288E-2</c:v>
                      </c:pt>
                      <c:pt idx="15">
                        <c:v>7.8016489625473126E-2</c:v>
                      </c:pt>
                      <c:pt idx="16">
                        <c:v>0.10112968965571065</c:v>
                      </c:pt>
                      <c:pt idx="17">
                        <c:v>0.13104504528174127</c:v>
                      </c:pt>
                      <c:pt idx="18">
                        <c:v>0.16971049205818706</c:v>
                      </c:pt>
                      <c:pt idx="19">
                        <c:v>0.21957016516934777</c:v>
                      </c:pt>
                      <c:pt idx="20">
                        <c:v>0.28362138975949214</c:v>
                      </c:pt>
                      <c:pt idx="21">
                        <c:v>0.36539852146137181</c:v>
                      </c:pt>
                      <c:pt idx="22">
                        <c:v>0.46879299062054386</c:v>
                      </c:pt>
                      <c:pt idx="23">
                        <c:v>0.59758193789059033</c:v>
                      </c:pt>
                      <c:pt idx="24">
                        <c:v>0.75456955492627253</c:v>
                      </c:pt>
                      <c:pt idx="25">
                        <c:v>0.94046014980187609</c:v>
                      </c:pt>
                      <c:pt idx="26">
                        <c:v>1.1529902248626442</c:v>
                      </c:pt>
                      <c:pt idx="27">
                        <c:v>1.3870632024668395</c:v>
                      </c:pt>
                      <c:pt idx="28">
                        <c:v>1.636092524376989</c:v>
                      </c:pt>
                      <c:pt idx="29">
                        <c:v>1.8937741035936573</c:v>
                      </c:pt>
                      <c:pt idx="30">
                        <c:v>2.1552476853859011</c:v>
                      </c:pt>
                      <c:pt idx="31">
                        <c:v>2.4173134328816874</c:v>
                      </c:pt>
                      <c:pt idx="32">
                        <c:v>2.6780655928823522</c:v>
                      </c:pt>
                      <c:pt idx="33">
                        <c:v>2.9364070173427783</c:v>
                      </c:pt>
                      <c:pt idx="34">
                        <c:v>3.1916805135358568</c:v>
                      </c:pt>
                      <c:pt idx="35">
                        <c:v>3.4434531610599204</c:v>
                      </c:pt>
                      <c:pt idx="36">
                        <c:v>3.6914105405013626</c:v>
                      </c:pt>
                      <c:pt idx="37">
                        <c:v>3.9353117954956325</c:v>
                      </c:pt>
                      <c:pt idx="38">
                        <c:v>4.1749725519476248</c:v>
                      </c:pt>
                      <c:pt idx="39">
                        <c:v>4.4102581844785966</c:v>
                      </c:pt>
                      <c:pt idx="40">
                        <c:v>4.6410796618109345</c:v>
                      </c:pt>
                      <c:pt idx="41">
                        <c:v>4.8673892243581518</c:v>
                      </c:pt>
                      <c:pt idx="42">
                        <c:v>5.0891753559822801</c:v>
                      </c:pt>
                      <c:pt idx="43">
                        <c:v>5.306457300086814</c:v>
                      </c:pt>
                      <c:pt idx="44">
                        <c:v>5.519279531621109</c:v>
                      </c:pt>
                      <c:pt idx="45">
                        <c:v>5.7277065265646181</c:v>
                      </c:pt>
                      <c:pt idx="46">
                        <c:v>5.9318180450168221</c:v>
                      </c:pt>
                      <c:pt idx="47">
                        <c:v>6.1317050307464571</c:v>
                      </c:pt>
                      <c:pt idx="48">
                        <c:v>6.3274661477881926</c:v>
                      </c:pt>
                      <c:pt idx="49">
                        <c:v>6.5192049228006725</c:v>
                      </c:pt>
                      <c:pt idx="50">
                        <c:v>6.7070274336851234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FD-47F3-85AE-63E63E024D4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v>Spectre_NMOS_GPDK</c:v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Sqrt_of_Id_wrt_Vgs_Plot!$K$3:$K$53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2.8550722135094547E-2</c:v>
                      </c:pt>
                      <c:pt idx="1">
                        <c:v>3.3509210059632664E-2</c:v>
                      </c:pt>
                      <c:pt idx="2">
                        <c:v>3.9873704091636882E-2</c:v>
                      </c:pt>
                      <c:pt idx="3">
                        <c:v>4.79046011351544E-2</c:v>
                      </c:pt>
                      <c:pt idx="4">
                        <c:v>5.791738771790747E-2</c:v>
                      </c:pt>
                      <c:pt idx="5">
                        <c:v>7.0294086952394808E-2</c:v>
                      </c:pt>
                      <c:pt idx="6">
                        <c:v>8.5491640353045836E-2</c:v>
                      </c:pt>
                      <c:pt idx="7">
                        <c:v>0.10404515419930886</c:v>
                      </c:pt>
                      <c:pt idx="8">
                        <c:v>0.12656219058275961</c:v>
                      </c:pt>
                      <c:pt idx="9">
                        <c:v>0.15370241552546343</c:v>
                      </c:pt>
                      <c:pt idx="10">
                        <c:v>0.18613648471497607</c:v>
                      </c:pt>
                      <c:pt idx="11">
                        <c:v>0.2244817089806429</c:v>
                      </c:pt>
                      <c:pt idx="12">
                        <c:v>0.26922192222384161</c:v>
                      </c:pt>
                      <c:pt idx="13">
                        <c:v>0.32063225428608944</c:v>
                      </c:pt>
                      <c:pt idx="14">
                        <c:v>0.3787360049215861</c:v>
                      </c:pt>
                      <c:pt idx="15">
                        <c:v>0.44331089884321689</c:v>
                      </c:pt>
                      <c:pt idx="16">
                        <c:v>0.51393990061254458</c:v>
                      </c:pt>
                      <c:pt idx="17">
                        <c:v>0.59008406196016716</c:v>
                      </c:pt>
                      <c:pt idx="18">
                        <c:v>0.67115275153654963</c:v>
                      </c:pt>
                      <c:pt idx="19">
                        <c:v>0.75655641797460715</c:v>
                      </c:pt>
                      <c:pt idx="20">
                        <c:v>0.8457385736748233</c:v>
                      </c:pt>
                      <c:pt idx="21">
                        <c:v>0.93819073083377436</c:v>
                      </c:pt>
                      <c:pt idx="22">
                        <c:v>1.0334561324869276</c:v>
                      </c:pt>
                      <c:pt idx="23">
                        <c:v>1.1311273954615244</c:v>
                      </c:pt>
                      <c:pt idx="24">
                        <c:v>1.2308415656063914</c:v>
                      </c:pt>
                      <c:pt idx="25">
                        <c:v>1.3322746003894772</c:v>
                      </c:pt>
                      <c:pt idx="26">
                        <c:v>1.4351362535108829</c:v>
                      </c:pt>
                      <c:pt idx="27">
                        <c:v>1.5391657169289337</c:v>
                      </c:pt>
                      <c:pt idx="28">
                        <c:v>1.644128053692163</c:v>
                      </c:pt>
                      <c:pt idx="29">
                        <c:v>1.7498113045586001</c:v>
                      </c:pt>
                      <c:pt idx="30">
                        <c:v>1.8560241862810749</c:v>
                      </c:pt>
                      <c:pt idx="31">
                        <c:v>1.9625941842881109</c:v>
                      </c:pt>
                      <c:pt idx="32">
                        <c:v>2.069365909220128</c:v>
                      </c:pt>
                      <c:pt idx="33">
                        <c:v>2.1761996826781518</c:v>
                      </c:pt>
                      <c:pt idx="34">
                        <c:v>2.2829702743092155</c:v>
                      </c:pt>
                      <c:pt idx="35">
                        <c:v>2.3895657479471377</c:v>
                      </c:pt>
                      <c:pt idx="36">
                        <c:v>2.4958863905710404</c:v>
                      </c:pt>
                      <c:pt idx="37">
                        <c:v>2.601843708215918</c:v>
                      </c:pt>
                      <c:pt idx="38">
                        <c:v>2.7073594798620948</c:v>
                      </c:pt>
                      <c:pt idx="39">
                        <c:v>2.8123648646737851</c:v>
                      </c:pt>
                      <c:pt idx="40">
                        <c:v>2.9167995605096433</c:v>
                      </c:pt>
                      <c:pt idx="41">
                        <c:v>3.0206110129653734</c:v>
                      </c:pt>
                      <c:pt idx="42">
                        <c:v>3.1237536747152004</c:v>
                      </c:pt>
                      <c:pt idx="43">
                        <c:v>3.2261883148514423</c:v>
                      </c:pt>
                      <c:pt idx="44">
                        <c:v>3.3278813775483327</c:v>
                      </c:pt>
                      <c:pt idx="45">
                        <c:v>3.4288043889698478</c:v>
                      </c:pt>
                      <c:pt idx="46">
                        <c:v>3.5289334109781558</c:v>
                      </c:pt>
                      <c:pt idx="47">
                        <c:v>3.6282485398480007</c:v>
                      </c:pt>
                      <c:pt idx="48">
                        <c:v>3.7267334478840941</c:v>
                      </c:pt>
                      <c:pt idx="49">
                        <c:v>3.8243749656030053</c:v>
                      </c:pt>
                      <c:pt idx="50">
                        <c:v>3.9211627019827024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DFD-47F3-85AE-63E63E024D4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v>Spectre_PMOS_GPDK</c:v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Sqrt_of_Id_wrt_Vgs_Plot!$Q$3:$Q$53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2.5060122942320447E-3</c:v>
                      </c:pt>
                      <c:pt idx="1">
                        <c:v>3.4143380983831097E-3</c:v>
                      </c:pt>
                      <c:pt idx="2">
                        <c:v>4.6518203427789286E-3</c:v>
                      </c:pt>
                      <c:pt idx="3">
                        <c:v>6.3376204102929953E-3</c:v>
                      </c:pt>
                      <c:pt idx="4">
                        <c:v>8.6338703685478468E-3</c:v>
                      </c:pt>
                      <c:pt idx="5">
                        <c:v>1.1760904963520729E-2</c:v>
                      </c:pt>
                      <c:pt idx="6">
                        <c:v>1.6017493854347066E-2</c:v>
                      </c:pt>
                      <c:pt idx="7">
                        <c:v>2.1807108680918667E-2</c:v>
                      </c:pt>
                      <c:pt idx="8">
                        <c:v>2.9670505845518343E-2</c:v>
                      </c:pt>
                      <c:pt idx="9">
                        <c:v>4.0322379392634583E-2</c:v>
                      </c:pt>
                      <c:pt idx="10">
                        <c:v>5.4683356678055926E-2</c:v>
                      </c:pt>
                      <c:pt idx="11">
                        <c:v>7.3885112361898098E-2</c:v>
                      </c:pt>
                      <c:pt idx="12">
                        <c:v>9.9206405396313077E-2</c:v>
                      </c:pt>
                      <c:pt idx="13">
                        <c:v>0.13189053639481815</c:v>
                      </c:pt>
                      <c:pt idx="14">
                        <c:v>0.17284928997204507</c:v>
                      </c:pt>
                      <c:pt idx="15">
                        <c:v>0.22238802578400438</c:v>
                      </c:pt>
                      <c:pt idx="16">
                        <c:v>0.28014511392494174</c:v>
                      </c:pt>
                      <c:pt idx="17">
                        <c:v>0.34528172196057449</c:v>
                      </c:pt>
                      <c:pt idx="18">
                        <c:v>0.41676285457635104</c:v>
                      </c:pt>
                      <c:pt idx="19">
                        <c:v>0.49356926824809649</c:v>
                      </c:pt>
                      <c:pt idx="20">
                        <c:v>0.5747965628448426</c:v>
                      </c:pt>
                      <c:pt idx="21">
                        <c:v>0.65967463870990894</c:v>
                      </c:pt>
                      <c:pt idx="22">
                        <c:v>0.74755148830076668</c:v>
                      </c:pt>
                      <c:pt idx="23">
                        <c:v>0.83786900757829874</c:v>
                      </c:pt>
                      <c:pt idx="24">
                        <c:v>0.93014236300176023</c:v>
                      </c:pt>
                      <c:pt idx="25">
                        <c:v>1.0239454124566887</c:v>
                      </c:pt>
                      <c:pt idx="26">
                        <c:v>1.1189011778718445</c:v>
                      </c:pt>
                      <c:pt idx="27">
                        <c:v>1.2146756516306043</c:v>
                      </c:pt>
                      <c:pt idx="28">
                        <c:v>1.3109735110508076</c:v>
                      </c:pt>
                      <c:pt idx="29">
                        <c:v>1.4075348013927012</c:v>
                      </c:pt>
                      <c:pt idx="30">
                        <c:v>1.5041320513647978</c:v>
                      </c:pt>
                      <c:pt idx="31">
                        <c:v>1.600567555954727</c:v>
                      </c:pt>
                      <c:pt idx="32">
                        <c:v>1.6966707223555073</c:v>
                      </c:pt>
                      <c:pt idx="33">
                        <c:v>1.7922954606756207</c:v>
                      </c:pt>
                      <c:pt idx="34">
                        <c:v>1.8873176407182726</c:v>
                      </c:pt>
                      <c:pt idx="35">
                        <c:v>1.9816326491767788</c:v>
                      </c:pt>
                      <c:pt idx="36">
                        <c:v>2.0751530806814102</c:v>
                      </c:pt>
                      <c:pt idx="37">
                        <c:v>2.167806588825981</c:v>
                      </c:pt>
                      <c:pt idx="38">
                        <c:v>2.259533913953891</c:v>
                      </c:pt>
                      <c:pt idx="39">
                        <c:v>2.3502870954296888</c:v>
                      </c:pt>
                      <c:pt idx="40">
                        <c:v>2.4400278684671211</c:v>
                      </c:pt>
                      <c:pt idx="41">
                        <c:v>2.5287262397068129</c:v>
                      </c:pt>
                      <c:pt idx="42">
                        <c:v>2.6163592316123059</c:v>
                      </c:pt>
                      <c:pt idx="43">
                        <c:v>2.7029097831610125</c:v>
                      </c:pt>
                      <c:pt idx="44">
                        <c:v>2.788365792950017</c:v>
                      </c:pt>
                      <c:pt idx="45">
                        <c:v>2.8727192904154704</c:v>
                      </c:pt>
                      <c:pt idx="46">
                        <c:v>2.955965721109493</c:v>
                      </c:pt>
                      <c:pt idx="47">
                        <c:v>3.0381033326676641</c:v>
                      </c:pt>
                      <c:pt idx="48">
                        <c:v>3.1191326490591358</c:v>
                      </c:pt>
                      <c:pt idx="49">
                        <c:v>3.1990560218106041</c:v>
                      </c:pt>
                      <c:pt idx="50">
                        <c:v>3.2778772480421012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DFD-47F3-85AE-63E63E024D45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Spectre_PMOS_PTM</c:v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Sqrt_of_Id_wrt_Vgs_Plot!$S$3:$S$53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1.506810344107533E-3</c:v>
                      </c:pt>
                      <c:pt idx="1">
                        <c:v>1.9542636243095718E-3</c:v>
                      </c:pt>
                      <c:pt idx="2">
                        <c:v>2.5345895321960479E-3</c:v>
                      </c:pt>
                      <c:pt idx="3">
                        <c:v>3.2872445513391271E-3</c:v>
                      </c:pt>
                      <c:pt idx="4">
                        <c:v>4.2634011883954468E-3</c:v>
                      </c:pt>
                      <c:pt idx="5">
                        <c:v>5.5294262488215186E-3</c:v>
                      </c:pt>
                      <c:pt idx="6">
                        <c:v>7.1713909536807998E-3</c:v>
                      </c:pt>
                      <c:pt idx="7">
                        <c:v>9.3009181282738985E-3</c:v>
                      </c:pt>
                      <c:pt idx="8">
                        <c:v>1.2062760866919372E-2</c:v>
                      </c:pt>
                      <c:pt idx="9">
                        <c:v>1.5644621097035526E-2</c:v>
                      </c:pt>
                      <c:pt idx="10">
                        <c:v>2.0289860659297467E-2</c:v>
                      </c:pt>
                      <c:pt idx="11">
                        <c:v>2.6313936549852642E-2</c:v>
                      </c:pt>
                      <c:pt idx="12">
                        <c:v>3.4125606743806901E-2</c:v>
                      </c:pt>
                      <c:pt idx="13">
                        <c:v>4.4254193932009689E-2</c:v>
                      </c:pt>
                      <c:pt idx="14">
                        <c:v>5.7384425231537375E-2</c:v>
                      </c:pt>
                      <c:pt idx="15">
                        <c:v>7.4400489771183895E-2</c:v>
                      </c:pt>
                      <c:pt idx="16">
                        <c:v>9.6440742733086324E-2</c:v>
                      </c:pt>
                      <c:pt idx="17">
                        <c:v>0.12496342479737817</c:v>
                      </c:pt>
                      <c:pt idx="18">
                        <c:v>0.16182079880610284</c:v>
                      </c:pt>
                      <c:pt idx="19">
                        <c:v>0.20933218426511072</c:v>
                      </c:pt>
                      <c:pt idx="20">
                        <c:v>0.27033203995606597</c:v>
                      </c:pt>
                      <c:pt idx="21">
                        <c:v>0.34814325017988906</c:v>
                      </c:pt>
                      <c:pt idx="22">
                        <c:v>0.44638803058709664</c:v>
                      </c:pt>
                      <c:pt idx="23">
                        <c:v>0.56851932192672738</c:v>
                      </c:pt>
                      <c:pt idx="24">
                        <c:v>0.71700043648838474</c:v>
                      </c:pt>
                      <c:pt idx="25">
                        <c:v>0.89228103873826181</c:v>
                      </c:pt>
                      <c:pt idx="26">
                        <c:v>1.0920846777246878</c:v>
                      </c:pt>
                      <c:pt idx="27">
                        <c:v>1.3116453822252312</c:v>
                      </c:pt>
                      <c:pt idx="28">
                        <c:v>1.5449738206400934</c:v>
                      </c:pt>
                      <c:pt idx="29">
                        <c:v>1.7864102275144513</c:v>
                      </c:pt>
                      <c:pt idx="30">
                        <c:v>2.0316028378653144</c:v>
                      </c:pt>
                      <c:pt idx="31">
                        <c:v>2.2776789252854845</c:v>
                      </c:pt>
                      <c:pt idx="32">
                        <c:v>2.5229239939042869</c:v>
                      </c:pt>
                      <c:pt idx="33">
                        <c:v>2.7663535840733102</c:v>
                      </c:pt>
                      <c:pt idx="34">
                        <c:v>3.0073794741687983</c:v>
                      </c:pt>
                      <c:pt idx="35">
                        <c:v>3.2456087950855181</c:v>
                      </c:pt>
                      <c:pt idx="36">
                        <c:v>3.4807439628805334</c:v>
                      </c:pt>
                      <c:pt idx="37">
                        <c:v>3.7125413318258573</c:v>
                      </c:pt>
                      <c:pt idx="38">
                        <c:v>3.9407979414756973</c:v>
                      </c:pt>
                      <c:pt idx="39">
                        <c:v>4.1653489255430234</c:v>
                      </c:pt>
                      <c:pt idx="40">
                        <c:v>4.3860673152528769</c:v>
                      </c:pt>
                      <c:pt idx="41">
                        <c:v>4.6028630961811876</c:v>
                      </c:pt>
                      <c:pt idx="42">
                        <c:v>4.8156808202764623</c:v>
                      </c:pt>
                      <c:pt idx="43">
                        <c:v>5.0244960370393699</c:v>
                      </c:pt>
                      <c:pt idx="44">
                        <c:v>5.2293110584331384</c:v>
                      </c:pt>
                      <c:pt idx="45">
                        <c:v>5.4301505303570368</c:v>
                      </c:pt>
                      <c:pt idx="46">
                        <c:v>5.6270571529056355</c:v>
                      </c:pt>
                      <c:pt idx="47">
                        <c:v>5.8200877589257249</c:v>
                      </c:pt>
                      <c:pt idx="48">
                        <c:v>6.0093098552284854</c:v>
                      </c:pt>
                      <c:pt idx="49">
                        <c:v>6.1947986577491729</c:v>
                      </c:pt>
                      <c:pt idx="50">
                        <c:v>6.3766346061491204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DFD-47F3-85AE-63E63E024D45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v>Spectre_PMOS_SAED14</c:v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Sqrt_of_Id_wrt_Vgs_Plot!$U$3:$U$53</c15:sqref>
                        </c15:formulaRef>
                      </c:ext>
                    </c:extLst>
                    <c:numCache>
                      <c:formatCode>General</c:formatCode>
                      <c:ptCount val="51"/>
                      <c:pt idx="0">
                        <c:v>4.2777396104161083E-3</c:v>
                      </c:pt>
                      <c:pt idx="1">
                        <c:v>5.6694615081588221E-3</c:v>
                      </c:pt>
                      <c:pt idx="2">
                        <c:v>7.5139487429774221E-3</c:v>
                      </c:pt>
                      <c:pt idx="3">
                        <c:v>9.9584463926219186E-3</c:v>
                      </c:pt>
                      <c:pt idx="4">
                        <c:v>1.3198073278870409E-2</c:v>
                      </c:pt>
                      <c:pt idx="5">
                        <c:v>1.7491336820525706E-2</c:v>
                      </c:pt>
                      <c:pt idx="6">
                        <c:v>2.3180616151615322E-2</c:v>
                      </c:pt>
                      <c:pt idx="7">
                        <c:v>3.0719133483733223E-2</c:v>
                      </c:pt>
                      <c:pt idx="8">
                        <c:v>4.0706289294593336E-2</c:v>
                      </c:pt>
                      <c:pt idx="9">
                        <c:v>5.3933540544922255E-2</c:v>
                      </c:pt>
                      <c:pt idx="10">
                        <c:v>7.1443010982694719E-2</c:v>
                      </c:pt>
                      <c:pt idx="11">
                        <c:v>9.4600165670503861E-2</c:v>
                      </c:pt>
                      <c:pt idx="12">
                        <c:v>0.12517889327435525</c:v>
                      </c:pt>
                      <c:pt idx="13">
                        <c:v>0.16544971689278926</c:v>
                      </c:pt>
                      <c:pt idx="14">
                        <c:v>0.21824554790706205</c:v>
                      </c:pt>
                      <c:pt idx="15">
                        <c:v>0.28695078423925829</c:v>
                      </c:pt>
                      <c:pt idx="16">
                        <c:v>0.3753249716648242</c:v>
                      </c:pt>
                      <c:pt idx="17">
                        <c:v>0.48706869320924856</c:v>
                      </c:pt>
                      <c:pt idx="18">
                        <c:v>0.62513903006900262</c:v>
                      </c:pt>
                      <c:pt idx="19">
                        <c:v>0.79104047682893541</c:v>
                      </c:pt>
                      <c:pt idx="20">
                        <c:v>0.98446245422910672</c:v>
                      </c:pt>
                      <c:pt idx="21">
                        <c:v>1.203457081912245</c:v>
                      </c:pt>
                      <c:pt idx="22">
                        <c:v>1.4449855978410824</c:v>
                      </c:pt>
                      <c:pt idx="23">
                        <c:v>1.7055058388917819</c:v>
                      </c:pt>
                      <c:pt idx="24">
                        <c:v>1.9813999760069523</c:v>
                      </c:pt>
                      <c:pt idx="25">
                        <c:v>2.2692189005890122</c:v>
                      </c:pt>
                      <c:pt idx="26">
                        <c:v>2.5658018084101628</c:v>
                      </c:pt>
                      <c:pt idx="27">
                        <c:v>2.8683314935261337</c:v>
                      </c:pt>
                      <c:pt idx="28">
                        <c:v>3.1743600301861647</c:v>
                      </c:pt>
                      <c:pt idx="29">
                        <c:v>3.4818154390031602</c:v>
                      </c:pt>
                      <c:pt idx="30">
                        <c:v>3.7889878182688368</c:v>
                      </c:pt>
                      <c:pt idx="31">
                        <c:v>4.0944943128260496</c:v>
                      </c:pt>
                      <c:pt idx="32">
                        <c:v>4.3972300648921951</c:v>
                      </c:pt>
                      <c:pt idx="33">
                        <c:v>4.6963171582533514</c:v>
                      </c:pt>
                      <c:pt idx="34">
                        <c:v>4.9910608525828053</c:v>
                      </c:pt>
                      <c:pt idx="35">
                        <c:v>5.2809158861637187</c:v>
                      </c:pt>
                      <c:pt idx="36">
                        <c:v>5.5654610109085176</c:v>
                      </c:pt>
                      <c:pt idx="37">
                        <c:v>5.8443788518331088</c:v>
                      </c:pt>
                      <c:pt idx="38">
                        <c:v>6.1174390440788091</c:v>
                      </c:pt>
                      <c:pt idx="39">
                        <c:v>6.3844836647902996</c:v>
                      </c:pt>
                      <c:pt idx="40">
                        <c:v>6.6454145940371161</c:v>
                      </c:pt>
                      <c:pt idx="41">
                        <c:v>6.9001826552902434</c:v>
                      </c:pt>
                      <c:pt idx="42">
                        <c:v>7.1487784075295764</c:v>
                      </c:pt>
                      <c:pt idx="43">
                        <c:v>7.3912244297203875</c:v>
                      </c:pt>
                      <c:pt idx="44">
                        <c:v>7.6275689137877221</c:v>
                      </c:pt>
                      <c:pt idx="45">
                        <c:v>7.8578803775024033</c:v>
                      </c:pt>
                      <c:pt idx="46">
                        <c:v>8.0822433197260093</c:v>
                      </c:pt>
                      <c:pt idx="47">
                        <c:v>8.3007546599490745</c:v>
                      </c:pt>
                      <c:pt idx="48">
                        <c:v>8.5135208263055944</c:v>
                      </c:pt>
                      <c:pt idx="49">
                        <c:v>8.7206553778797034</c:v>
                      </c:pt>
                      <c:pt idx="50">
                        <c:v>8.9222770665213176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DFD-47F3-85AE-63E63E024D45}"/>
                  </c:ext>
                </c:extLst>
              </c15:ser>
            </c15:filteredLineSeries>
          </c:ext>
        </c:extLst>
      </c:lineChart>
      <c:catAx>
        <c:axId val="1195412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</a:t>
                </a:r>
                <a:r>
                  <a:rPr lang="ro-RO"/>
                  <a:t>g</a:t>
                </a:r>
                <a:r>
                  <a:rPr lang="en-US"/>
                  <a:t>s</a:t>
                </a:r>
                <a:r>
                  <a:rPr lang="en-US" baseline="0"/>
                  <a:t> [mV]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1195415119"/>
        <c:crosses val="autoZero"/>
        <c:auto val="1"/>
        <c:lblAlgn val="ctr"/>
        <c:lblOffset val="100"/>
        <c:noMultiLvlLbl val="0"/>
      </c:catAx>
      <c:valAx>
        <c:axId val="119541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Aptos Narrow" panose="020B0004020202020204" pitchFamily="34" charset="0"/>
                  </a:rPr>
                  <a:t>√</a:t>
                </a:r>
                <a:r>
                  <a:rPr lang="ro-RO"/>
                  <a:t>Id</a:t>
                </a:r>
                <a:r>
                  <a:rPr lang="ro-RO" baseline="0"/>
                  <a:t> </a:t>
                </a:r>
                <a:r>
                  <a:rPr lang="en-US" baseline="0"/>
                  <a:t>[</a:t>
                </a:r>
                <a:r>
                  <a:rPr lang="ro-RO" baseline="0"/>
                  <a:t>m</a:t>
                </a:r>
                <a:r>
                  <a:rPr lang="en-US" baseline="0"/>
                  <a:t>A]</a:t>
                </a:r>
                <a:endParaRPr lang="ro-R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o-R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o-RO"/>
          </a:p>
        </c:txPr>
        <c:crossAx val="119541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o-R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o-R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X$7" max="10000" page="10" val="175"/>
</file>

<file path=xl/ctrlProps/ctrlProp2.xml><?xml version="1.0" encoding="utf-8"?>
<formControlPr xmlns="http://schemas.microsoft.com/office/spreadsheetml/2009/9/main" objectType="Spin" dx="26" fmlaLink="$Y$7" max="10000" page="10" val="5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pin" dx="26" fmlaLink="$Z$7" max="10000" page="10" val="206"/>
</file>

<file path=xl/ctrlProps/ctrlProp10.xml><?xml version="1.0" encoding="utf-8"?>
<formControlPr xmlns="http://schemas.microsoft.com/office/spreadsheetml/2009/9/main" objectType="Spin" dx="26" fmlaLink="$X$7" max="10000" page="10" val="175"/>
</file>

<file path=xl/ctrlProps/ctrlProp11.xml><?xml version="1.0" encoding="utf-8"?>
<formControlPr xmlns="http://schemas.microsoft.com/office/spreadsheetml/2009/9/main" objectType="Spin" dx="26" fmlaLink="$Y$7" max="10000" page="10" val="5"/>
</file>

<file path=xl/ctrlProps/ctrlProp12.xml><?xml version="1.0" encoding="utf-8"?>
<formControlPr xmlns="http://schemas.microsoft.com/office/spreadsheetml/2009/9/main" objectType="Spin" dx="26" fmlaLink="$Z$7" max="10000" page="10" val="206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13</xdr:col>
      <xdr:colOff>7620</xdr:colOff>
      <xdr:row>12</xdr:row>
      <xdr:rowOff>181440</xdr:rowOff>
    </xdr:to>
    <xdr:graphicFrame macro="">
      <xdr:nvGraphicFramePr>
        <xdr:cNvPr id="2" name="Diagramă 1">
          <a:extLst>
            <a:ext uri="{FF2B5EF4-FFF2-40B4-BE49-F238E27FC236}">
              <a16:creationId xmlns:a16="http://schemas.microsoft.com/office/drawing/2014/main" id="{19582C8D-C074-B678-2F79-8AADEF7EA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0</xdr:colOff>
      <xdr:row>0</xdr:row>
      <xdr:rowOff>0</xdr:rowOff>
    </xdr:from>
    <xdr:to>
      <xdr:col>21</xdr:col>
      <xdr:colOff>0</xdr:colOff>
      <xdr:row>13</xdr:row>
      <xdr:rowOff>60</xdr:rowOff>
    </xdr:to>
    <xdr:graphicFrame macro="">
      <xdr:nvGraphicFramePr>
        <xdr:cNvPr id="2" name="Diagramă 1">
          <a:extLst>
            <a:ext uri="{FF2B5EF4-FFF2-40B4-BE49-F238E27FC236}">
              <a16:creationId xmlns:a16="http://schemas.microsoft.com/office/drawing/2014/main" id="{A926500C-4944-54CA-FE65-37EF831807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0</xdr:colOff>
      <xdr:row>0</xdr:row>
      <xdr:rowOff>0</xdr:rowOff>
    </xdr:from>
    <xdr:to>
      <xdr:col>26</xdr:col>
      <xdr:colOff>607680</xdr:colOff>
      <xdr:row>12</xdr:row>
      <xdr:rowOff>179340</xdr:rowOff>
    </xdr:to>
    <xdr:graphicFrame macro="">
      <xdr:nvGraphicFramePr>
        <xdr:cNvPr id="2" name="Diagramă 1">
          <a:extLst>
            <a:ext uri="{FF2B5EF4-FFF2-40B4-BE49-F238E27FC236}">
              <a16:creationId xmlns:a16="http://schemas.microsoft.com/office/drawing/2014/main" id="{BB68B919-A86F-9198-EF59-8A3169942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21</xdr:col>
      <xdr:colOff>0</xdr:colOff>
      <xdr:row>14</xdr:row>
      <xdr:rowOff>0</xdr:rowOff>
    </xdr:from>
    <xdr:to>
      <xdr:col>26</xdr:col>
      <xdr:colOff>607680</xdr:colOff>
      <xdr:row>27</xdr:row>
      <xdr:rowOff>4080</xdr:rowOff>
    </xdr:to>
    <xdr:graphicFrame macro="">
      <xdr:nvGraphicFramePr>
        <xdr:cNvPr id="3" name="Diagramă 2">
          <a:extLst>
            <a:ext uri="{FF2B5EF4-FFF2-40B4-BE49-F238E27FC236}">
              <a16:creationId xmlns:a16="http://schemas.microsoft.com/office/drawing/2014/main" id="{95F38026-1C9C-4DE9-95C8-189D28625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7620</xdr:colOff>
      <xdr:row>0</xdr:row>
      <xdr:rowOff>179070</xdr:rowOff>
    </xdr:from>
    <xdr:to>
      <xdr:col>38</xdr:col>
      <xdr:colOff>10020</xdr:colOff>
      <xdr:row>21</xdr:row>
      <xdr:rowOff>2130</xdr:rowOff>
    </xdr:to>
    <xdr:graphicFrame macro="">
      <xdr:nvGraphicFramePr>
        <xdr:cNvPr id="2" name="Diagramă 1">
          <a:extLst>
            <a:ext uri="{FF2B5EF4-FFF2-40B4-BE49-F238E27FC236}">
              <a16:creationId xmlns:a16="http://schemas.microsoft.com/office/drawing/2014/main" id="{77657474-165B-7D3B-393F-1F829F4A8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0</xdr:rowOff>
        </xdr:from>
        <xdr:to>
          <xdr:col>24</xdr:col>
          <xdr:colOff>83820</xdr:colOff>
          <xdr:row>12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0</xdr:rowOff>
        </xdr:from>
        <xdr:to>
          <xdr:col>24</xdr:col>
          <xdr:colOff>83820</xdr:colOff>
          <xdr:row>9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15</xdr:row>
          <xdr:rowOff>0</xdr:rowOff>
        </xdr:from>
        <xdr:to>
          <xdr:col>24</xdr:col>
          <xdr:colOff>0</xdr:colOff>
          <xdr:row>17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</a:t>
              </a:r>
            </a:p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GPDK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17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 PTM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0</xdr:rowOff>
        </xdr:from>
        <xdr:to>
          <xdr:col>25</xdr:col>
          <xdr:colOff>609600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 SAED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18</xdr:row>
          <xdr:rowOff>0</xdr:rowOff>
        </xdr:from>
        <xdr:to>
          <xdr:col>24</xdr:col>
          <xdr:colOff>0</xdr:colOff>
          <xdr:row>20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</a:t>
              </a:r>
            </a:p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GPDK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20</xdr:row>
          <xdr:rowOff>182880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 PTM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609600</xdr:colOff>
          <xdr:row>20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 SAED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24</xdr:col>
          <xdr:colOff>83820</xdr:colOff>
          <xdr:row>13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0</xdr:rowOff>
        </xdr:from>
        <xdr:to>
          <xdr:col>24</xdr:col>
          <xdr:colOff>83820</xdr:colOff>
          <xdr:row>12</xdr:row>
          <xdr:rowOff>0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0</xdr:rowOff>
        </xdr:from>
        <xdr:to>
          <xdr:col>24</xdr:col>
          <xdr:colOff>83820</xdr:colOff>
          <xdr:row>9</xdr:row>
          <xdr:rowOff>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0</xdr:rowOff>
        </xdr:from>
        <xdr:to>
          <xdr:col>24</xdr:col>
          <xdr:colOff>83820</xdr:colOff>
          <xdr:row>13</xdr:row>
          <xdr:rowOff>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28</xdr:col>
      <xdr:colOff>0</xdr:colOff>
      <xdr:row>1</xdr:row>
      <xdr:rowOff>0</xdr:rowOff>
    </xdr:from>
    <xdr:to>
      <xdr:col>38</xdr:col>
      <xdr:colOff>2400</xdr:colOff>
      <xdr:row>21</xdr:row>
      <xdr:rowOff>2340</xdr:rowOff>
    </xdr:to>
    <xdr:graphicFrame macro="">
      <xdr:nvGraphicFramePr>
        <xdr:cNvPr id="3" name="Diagramă 2">
          <a:extLst>
            <a:ext uri="{FF2B5EF4-FFF2-40B4-BE49-F238E27FC236}">
              <a16:creationId xmlns:a16="http://schemas.microsoft.com/office/drawing/2014/main" id="{8BC27B6F-1101-4AAD-AB2B-DDB188D6B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15</xdr:row>
          <xdr:rowOff>0</xdr:rowOff>
        </xdr:from>
        <xdr:to>
          <xdr:col>24</xdr:col>
          <xdr:colOff>0</xdr:colOff>
          <xdr:row>17</xdr:row>
          <xdr:rowOff>182880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</a:t>
              </a:r>
            </a:p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GPDK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0</xdr:rowOff>
        </xdr:from>
        <xdr:to>
          <xdr:col>25</xdr:col>
          <xdr:colOff>0</xdr:colOff>
          <xdr:row>17</xdr:row>
          <xdr:rowOff>182880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 PTM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0</xdr:rowOff>
        </xdr:from>
        <xdr:to>
          <xdr:col>25</xdr:col>
          <xdr:colOff>609600</xdr:colOff>
          <xdr:row>18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NMOS SAED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18</xdr:row>
          <xdr:rowOff>0</xdr:rowOff>
        </xdr:from>
        <xdr:to>
          <xdr:col>24</xdr:col>
          <xdr:colOff>0</xdr:colOff>
          <xdr:row>20</xdr:row>
          <xdr:rowOff>182880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</a:t>
              </a:r>
            </a:p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GPDK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0</xdr:rowOff>
        </xdr:from>
        <xdr:to>
          <xdr:col>25</xdr:col>
          <xdr:colOff>0</xdr:colOff>
          <xdr:row>20</xdr:row>
          <xdr:rowOff>182880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 PTM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609600</xdr:colOff>
          <xdr:row>20</xdr:row>
          <xdr:rowOff>182880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o-R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PMOS SAED 14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connectionId="7" xr16:uid="{6B69360B-6FE4-48B3-8AE2-976E944475EE}" autoFormatId="16" applyNumberFormats="0" applyBorderFormats="0" applyFontFormats="0" applyPatternFormats="0" applyAlignmentFormats="0" applyWidthHeightFormats="0">
  <queryTableRefresh nextId="21">
    <queryTableFields count="10">
      <queryTableField id="11" name="Vds_at_Vgs_0.4V" tableColumnId="1"/>
      <queryTableField id="12" name="Id" tableColumnId="2"/>
      <queryTableField id="13" name="Vds_at_Vgs_0.5V" tableColumnId="3"/>
      <queryTableField id="14" name="Id_1" tableColumnId="4"/>
      <queryTableField id="15" name="Vds_at_Vgs_0.6V" tableColumnId="5"/>
      <queryTableField id="16" name="Id_2" tableColumnId="6"/>
      <queryTableField id="17" name="Vds_at_Vgs_0.7V" tableColumnId="7"/>
      <queryTableField id="18" name="Id_3" tableColumnId="8"/>
      <queryTableField id="19" name="Vds_at_Vgs_0.8V" tableColumnId="9"/>
      <queryTableField id="20" name="Id_4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connectionId="31" xr16:uid="{DA019C10-E984-4029-B402-FF7A019A57E2}" autoFormatId="16" applyNumberFormats="0" applyBorderFormats="0" applyFontFormats="0" applyPatternFormats="0" applyAlignmentFormats="0" applyWidthHeightFormats="0">
  <queryTableRefresh nextId="11">
    <queryTableFields count="10">
      <queryTableField id="1" name="Vgs_at_Vds_0.4V" tableColumnId="1"/>
      <queryTableField id="2" name="Square_root_of_Id" tableColumnId="2"/>
      <queryTableField id="3" name="Vgs_at_Vds_0.5V" tableColumnId="3"/>
      <queryTableField id="4" name="Square_root_of_Id_1" tableColumnId="4"/>
      <queryTableField id="5" name="Vgs_at_Vds_0.6V" tableColumnId="5"/>
      <queryTableField id="6" name="Square_root_of_Id_2" tableColumnId="6"/>
      <queryTableField id="7" name="Vgs_at_Vds_0.7V" tableColumnId="7"/>
      <queryTableField id="8" name="Square_root_of_Id_3" tableColumnId="8"/>
      <queryTableField id="9" name="Vgs_at_Vds_0.8V" tableColumnId="9"/>
      <queryTableField id="10" name="Square_root_of_Id_4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6" connectionId="42" xr16:uid="{791327E3-E21A-4657-8E81-9E1C7A96BF28}" autoFormatId="16" applyNumberFormats="0" applyBorderFormats="0" applyFontFormats="0" applyPatternFormats="0" applyAlignmentFormats="0" applyWidthHeightFormats="0">
  <queryTableRefresh nextId="11">
    <queryTableFields count="10">
      <queryTableField id="1" name="Vgs" tableColumnId="1"/>
      <queryTableField id="2" name="Square_root_of_Id_at_Vbs_0.8V" tableColumnId="2"/>
      <queryTableField id="3" name="Vgs_1" tableColumnId="3"/>
      <queryTableField id="4" name="Square_root_of_Id_at_Vbs_0.6V" tableColumnId="4"/>
      <queryTableField id="5" name="Vgs_2" tableColumnId="5"/>
      <queryTableField id="6" name="Square_root_of_Id_at_Vbs_0.4V" tableColumnId="6"/>
      <queryTableField id="7" name="Vgs_3" tableColumnId="7"/>
      <queryTableField id="8" name="Square_root_of_Id_at_Vbs_0.2V" tableColumnId="8"/>
      <queryTableField id="9" name="Vgs_4" tableColumnId="9"/>
      <queryTableField id="10" name="Square_root_of_Id_at_Vbs_0V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adjustColumnWidth="0" connectionId="40" xr16:uid="{412EBE8C-1036-443D-9139-BE58E32CF419}" autoFormatId="16" applyNumberFormats="0" applyBorderFormats="0" applyFontFormats="0" applyPatternFormats="0" applyAlignmentFormats="0" applyWidthHeightFormats="0">
  <queryTableRefresh nextId="5">
    <queryTableFields count="2">
      <queryTableField id="3" name="Vgs" tableColumnId="1"/>
      <queryTableField id="4" name="Vds_sa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" connectionId="16" xr16:uid="{518FB844-4465-4A21-99F5-F05AFE96253F}" autoFormatId="16" applyNumberFormats="0" applyBorderFormats="0" applyFontFormats="0" applyPatternFormats="0" applyAlignmentFormats="0" applyWidthHeightFormats="0">
  <queryTableRefresh nextId="11">
    <queryTableFields count="10">
      <queryTableField id="1" name="Vgs_at_Vds_0.4V" tableColumnId="1"/>
      <queryTableField id="2" name="Square_root_of_Id" tableColumnId="2"/>
      <queryTableField id="3" name="Vgs_at_Vds_0.5V" tableColumnId="3"/>
      <queryTableField id="4" name="Square_root_of_Id_1" tableColumnId="4"/>
      <queryTableField id="5" name="Vgs_at_Vds_0.6V" tableColumnId="5"/>
      <queryTableField id="6" name="Square_root_of_Id_2" tableColumnId="6"/>
      <queryTableField id="7" name="Vgs_at_Vds_0.7V" tableColumnId="7"/>
      <queryTableField id="8" name="Square_root_of_Id_3" tableColumnId="8"/>
      <queryTableField id="9" name="Vgs_at_Vds_0.8V" tableColumnId="9"/>
      <queryTableField id="10" name="Square_root_of_Id_4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3" connectionId="17" xr16:uid="{E7C5F97A-BAE1-47C8-80AF-B0B5587566C0}" autoFormatId="16" applyNumberFormats="0" applyBorderFormats="0" applyFontFormats="0" applyPatternFormats="0" applyAlignmentFormats="0" applyWidthHeightFormats="0">
  <queryTableRefresh nextId="11">
    <queryTableFields count="10">
      <queryTableField id="1" name="Vds_at_Vgs_0.4V" tableColumnId="1"/>
      <queryTableField id="2" name="Id" tableColumnId="2"/>
      <queryTableField id="3" name="Vds_at_Vgs_0.5V" tableColumnId="3"/>
      <queryTableField id="4" name="Id_1" tableColumnId="4"/>
      <queryTableField id="5" name="Vds_at_Vgs_0.6V" tableColumnId="5"/>
      <queryTableField id="6" name="Id_2" tableColumnId="6"/>
      <queryTableField id="7" name="Vds_at_Vgs_0.7V" tableColumnId="7"/>
      <queryTableField id="8" name="Id_3" tableColumnId="8"/>
      <queryTableField id="9" name="Vds_at_Vgs_0.8V" tableColumnId="9"/>
      <queryTableField id="10" name="Id_4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6" connectionId="6" xr16:uid="{CCF34932-8767-471B-A73A-B91B9C884171}" autoFormatId="16" applyNumberFormats="0" applyBorderFormats="0" applyFontFormats="0" applyPatternFormats="0" applyAlignmentFormats="0" applyWidthHeightFormats="0">
  <queryTableRefresh nextId="11">
    <queryTableFields count="10">
      <queryTableField id="1" name="Vgs" tableColumnId="1"/>
      <queryTableField id="2" name="Square_root_of_Id_at_Vbs_0.8V" tableColumnId="2"/>
      <queryTableField id="3" name="Vgs_1" tableColumnId="3"/>
      <queryTableField id="4" name="Square_root_of_Id_at_Vbs_0.6V" tableColumnId="4"/>
      <queryTableField id="5" name="Vgs_2" tableColumnId="5"/>
      <queryTableField id="6" name="Square_root_of_Id_at_Vbs_0.4V" tableColumnId="6"/>
      <queryTableField id="7" name="Vgs_3" tableColumnId="7"/>
      <queryTableField id="8" name="Square_root_of_Id_at_Vbs_0.2V" tableColumnId="8"/>
      <queryTableField id="9" name="Vgs_4" tableColumnId="9"/>
      <queryTableField id="10" name="Square_root_of_Id_at_Vbs_0V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connectionId="44" xr16:uid="{2882D1F7-5659-4191-AED2-236A52C5516A}" autoFormatId="16" applyNumberFormats="0" applyBorderFormats="0" applyFontFormats="0" applyPatternFormats="0" applyAlignmentFormats="0" applyWidthHeightFormats="0">
  <queryTableRefresh nextId="3">
    <queryTableFields count="2">
      <queryTableField id="1" name="Vds_at_Vgs_0.4V" tableColumnId="1"/>
      <queryTableField id="2" name="Id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" connectionId="45" xr16:uid="{5E6F116E-0438-4A50-9971-A23C47E6E5C6}" autoFormatId="16" applyNumberFormats="0" applyBorderFormats="0" applyFontFormats="0" applyPatternFormats="0" applyAlignmentFormats="0" applyWidthHeightFormats="0">
  <queryTableRefresh nextId="11">
    <queryTableFields count="2">
      <queryTableField id="3" name="Vds_at_Vgs_0.5V" tableColumnId="3"/>
      <queryTableField id="4" name="Id_1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3" connectionId="46" xr16:uid="{A1B5173F-C149-4EBE-88CA-F33134531928}" autoFormatId="16" applyNumberFormats="0" applyBorderFormats="0" applyFontFormats="0" applyPatternFormats="0" applyAlignmentFormats="0" applyWidthHeightFormats="0">
  <queryTableRefresh nextId="3">
    <queryTableFields count="2">
      <queryTableField id="1" name="Vds_at_Vgs_0.6V" tableColumnId="1"/>
      <queryTableField id="2" name="Id_2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4" connectionId="47" xr16:uid="{C1A0E472-86C4-4BF2-B869-C7E726E75CCC}" autoFormatId="16" applyNumberFormats="0" applyBorderFormats="0" applyFontFormats="0" applyPatternFormats="0" applyAlignmentFormats="0" applyWidthHeightFormats="0">
  <queryTableRefresh nextId="3">
    <queryTableFields count="2">
      <queryTableField id="1" name="Vds_at_Vgs_0.7V" tableColumnId="1"/>
      <queryTableField id="2" name="Id_3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5" connectionId="48" xr16:uid="{48814075-F09D-46C4-9F92-008F4404D12D}" autoFormatId="16" applyNumberFormats="0" applyBorderFormats="0" applyFontFormats="0" applyPatternFormats="0" applyAlignmentFormats="0" applyWidthHeightFormats="0">
  <queryTableRefresh nextId="3">
    <queryTableFields count="2">
      <queryTableField id="1" name="Vds_at_Vgs_0.8V" tableColumnId="1"/>
      <queryTableField id="2" name="Id_4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connectionId="8" xr16:uid="{65BF33E5-8E82-418A-A68C-252BD235D3A3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Vds" tableColumnId="1"/>
      <queryTableField id="2" name="Id_at_Vgs_0.4V" tableColumnId="2"/>
      <queryTableField id="3" name="Id_at_Vgs_0.5V" tableColumnId="3"/>
      <queryTableField id="4" name="Id_at_Vgs_0.6V" tableColumnId="4"/>
      <queryTableField id="5" name="Id_at_Vgs_0.7V" tableColumnId="5"/>
      <queryTableField id="6" name="Id_at_Vgs_0.8V" tableColumnId="6"/>
      <queryTableField id="7" dataBound="0" tableColumnId="7"/>
      <queryTableField id="8" dataBound="0" tableColumnId="8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" connectionId="11" xr16:uid="{74FCF3FC-6504-46E9-B804-CD9695AAF4D3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3" connectionId="9" xr16:uid="{B256AFCF-74E0-4825-8589-736A7C2AC54B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4" connectionId="10" xr16:uid="{7228E906-5696-4F37-9FDE-BC36A4AC6EF5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5" connectionId="12" xr16:uid="{EA68F053-A5E2-49A8-B715-444270A7C3F5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6" connectionId="13" xr16:uid="{ABF68BDC-9919-4A1F-9E9E-F00F3D07A4F3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7" connectionId="14" xr16:uid="{8C55042D-11B8-4018-A322-FD426DD43A88}" autoFormatId="16" applyNumberFormats="0" applyBorderFormats="0" applyFontFormats="0" applyPatternFormats="0" applyAlignmentFormats="0" applyWidthHeightFormats="0">
  <queryTableRefresh nextId="3">
    <queryTableFields count="2">
      <queryTableField id="1" name="Vds" tableColumnId="1"/>
      <queryTableField id="2" name="Id" tableColumnId="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" connectionId="32" xr16:uid="{30A2FF68-41FC-43DD-87AF-E68C2CDCAF70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Vgs" tableColumnId="1"/>
      <queryTableField id="2" name="Square_root_of_Id_at_Vds_0.4V" tableColumnId="2"/>
      <queryTableField id="3" name="Square_root_of_Id_at_Vds_0.5V" tableColumnId="3"/>
      <queryTableField id="4" name="Square_root_of_Id_at_Vds_0.6V" tableColumnId="4"/>
      <queryTableField id="5" name="Square_root_of_Id_at_Vds_0.7V" tableColumnId="5"/>
      <queryTableField id="6" name="Square_root_of_Id_at_Vds_0.8V" tableColumnId="6"/>
      <queryTableField id="7" dataBound="0" tableColumnId="7"/>
      <queryTableField id="8" dataBound="0" tableColumnId="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3" connectionId="35" xr16:uid="{A17B9961-91A3-4B8F-99A6-7B42560757EB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4" connectionId="33" xr16:uid="{936DEFB4-0A8C-47F2-A5C8-C82AD08B26D2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5" connectionId="34" xr16:uid="{762AC68E-622C-417F-A1C3-789E97731814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6" connectionId="36" xr16:uid="{87863D47-5AEE-4B52-AC79-CDA29BCC8EEC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7" connectionId="37" xr16:uid="{02558654-437A-41F4-93A5-57312D95226B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8" connectionId="38" xr16:uid="{D17AD7E1-3E00-4FB6-BE5D-B06E9FC2B2E7}" autoFormatId="16" applyNumberFormats="0" applyBorderFormats="0" applyFontFormats="0" applyPatternFormats="0" applyAlignmentFormats="0" applyWidthHeightFormats="0">
  <queryTableRefresh nextId="3">
    <queryTableFields count="2">
      <queryTableField id="1" name="Vgs" tableColumnId="1"/>
      <queryTableField id="2" name="Sqrt_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" connectionId="18" xr16:uid="{7852D630-E0F4-4EDA-8514-BC1EB218EB06}" autoFormatId="16" applyNumberFormats="0" applyBorderFormats="0" applyFontFormats="0" applyPatternFormats="0" applyAlignmentFormats="0" applyWidthHeightFormats="0">
  <queryTableRefresh nextId="2">
    <queryTableFields count="1">
      <queryTableField id="1" name="Putty_Path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" connectionId="1" xr16:uid="{274C4AA5-7C70-4AE5-91AC-045D1ED6811C}" autoFormatId="16" applyNumberFormats="0" applyBorderFormats="0" applyFontFormats="0" applyPatternFormats="0" applyAlignmentFormats="0" applyWidthHeightFormats="0">
  <queryTableRefresh nextId="3">
    <queryTableFields count="1">
      <queryTableField id="2" name="400_Limit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3" connectionId="2" xr16:uid="{A42A2DD2-A534-43F1-A8BE-378FF11FE25A}" autoFormatId="16" applyNumberFormats="0" applyBorderFormats="0" applyFontFormats="0" applyPatternFormats="0" applyAlignmentFormats="0" applyWidthHeightFormats="0">
  <queryTableRefresh nextId="3">
    <queryTableFields count="1">
      <queryTableField id="2" name="500_Limit" tableColumnId="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4" connectionId="3" xr16:uid="{3D1CE714-3EE8-4730-8D8F-C773C1DDF10C}" autoFormatId="16" applyNumberFormats="0" applyBorderFormats="0" applyFontFormats="0" applyPatternFormats="0" applyAlignmentFormats="0" applyWidthHeightFormats="0">
  <queryTableRefresh nextId="3">
    <queryTableFields count="1">
      <queryTableField id="2" name="600_Limit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5" connectionId="4" xr16:uid="{574BE8D4-3F26-4539-90C5-4306ED2E9953}" autoFormatId="16" applyNumberFormats="0" applyBorderFormats="0" applyFontFormats="0" applyPatternFormats="0" applyAlignmentFormats="0" applyWidthHeightFormats="0">
  <queryTableRefresh nextId="3">
    <queryTableFields count="1">
      <queryTableField id="2" name="700_Limit" tableColumnId="1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6" connectionId="5" xr16:uid="{EA52BD5D-19CA-408F-8DD2-B0FE836AFE22}" autoFormatId="16" applyNumberFormats="0" applyBorderFormats="0" applyFontFormats="0" applyPatternFormats="0" applyAlignmentFormats="0" applyWidthHeightFormats="0">
  <queryTableRefresh nextId="3">
    <queryTableFields count="1">
      <queryTableField id="2" name="800_Limit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7" connectionId="15" xr16:uid="{DA42CA30-85E1-4D81-90E3-BB292FF65D9E}" autoFormatId="16" applyNumberFormats="0" applyBorderFormats="0" applyFontFormats="0" applyPatternFormats="0" applyAlignmentFormats="0" applyWidthHeightFormats="0">
  <queryTableRefresh nextId="3">
    <queryTableFields count="1">
      <queryTableField id="2" name="Id_wrt_Vds_DataPath" tableColumnId="2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8" connectionId="39" xr16:uid="{1862AC13-1D28-4557-AFDE-D78A6E4590A7}" autoFormatId="16" applyNumberFormats="0" applyBorderFormats="0" applyFontFormats="0" applyPatternFormats="0" applyAlignmentFormats="0" applyWidthHeightFormats="0">
  <queryTableRefresh nextId="3">
    <queryTableFields count="1">
      <queryTableField id="2" name="Sqrt_Id_wrt_Vgs_DataPath" tableColumnId="2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9" connectionId="41" xr16:uid="{FE5FAD41-454F-47BF-993F-2C4C49A7CAB7}" autoFormatId="16" applyNumberFormats="0" applyBorderFormats="0" applyFontFormats="0" applyPatternFormats="0" applyAlignmentFormats="0" applyWidthHeightFormats="0">
  <queryTableRefresh nextId="2">
    <queryTableFields count="1">
      <queryTableField id="1" name="Vds_sat_DataPath" tableColumnId="1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0" connectionId="43" xr16:uid="{2884C99B-EA21-45AB-896A-B8DC7F741379}" autoFormatId="16" applyNumberFormats="0" applyBorderFormats="0" applyFontFormats="0" applyPatternFormats="0" applyAlignmentFormats="0" applyWidthHeightFormats="0">
  <queryTableRefresh nextId="2">
    <queryTableFields count="1">
      <queryTableField id="1" name="Vt_wrt_Vbs_DataPath" tableColumnId="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1" connectionId="19" xr16:uid="{E9B1DF02-E862-4DE9-A57B-2BC0C3EE3A3F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NMOS_GPDK" tableColumnId="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2" connectionId="20" xr16:uid="{4AC50FB3-5A93-4950-B8E0-A62BD3EA5D6A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NMOS_PTM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3" connectionId="21" xr16:uid="{FFEFEE2F-6E66-4E1C-BFAE-43BDC4A986D1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NMOS_SAED14" tableColumnId="1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4" connectionId="22" xr16:uid="{3F7E988C-E261-4A8A-9E10-FEC52E9B43A2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PMOS_GPDK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5" connectionId="23" xr16:uid="{F650C2E4-DABB-4DE1-8984-29251F03FCE2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PMOS_PTM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6" connectionId="24" xr16:uid="{2FF1B9F8-567E-476B-984B-E0CD2769E78B}" autoFormatId="16" applyNumberFormats="0" applyBorderFormats="0" applyFontFormats="0" applyPatternFormats="0" applyAlignmentFormats="0" applyWidthHeightFormats="0">
  <queryTableRefresh nextId="2">
    <queryTableFields count="1">
      <queryTableField id="1" name="Spectre_Id_wrt_Vds_PMOS_SAED14" tableColumnId="1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7" connectionId="25" xr16:uid="{3A217380-0FA4-4772-8648-933336BFD5AE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NMOS_GPDK" tableColumnId="1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8" connectionId="26" xr16:uid="{5C4C825F-0656-4AF1-9FBD-B97A58030A78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NMOS_PTM" tableColumnId="1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19" connectionId="27" xr16:uid="{202B8179-3FB5-4806-85A8-ECA4B472007D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NMOS_SAED14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0" connectionId="28" xr16:uid="{0036D3A5-2925-425F-B5D6-A79621BF6A9B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PMOS_GPDK" tableColumnId="1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1" connectionId="29" xr16:uid="{14E7B6E9-359B-406C-B1DD-3958390CB6FB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PMOS_PTM" tableColumnId="1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eExterne_22" connectionId="30" xr16:uid="{A8D5809D-BA54-47C0-942C-63FE3EE3CAE8}" autoFormatId="16" applyNumberFormats="0" applyBorderFormats="0" applyFontFormats="0" applyPatternFormats="0" applyAlignmentFormats="0" applyWidthHeightFormats="0">
  <queryTableRefresh nextId="2">
    <queryTableFields count="1">
      <queryTableField id="1" name="Spectre_Sqrt_Id_wrt_Vgs_PMOS_SAED14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7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7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7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7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7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9CBFCA-8966-48C1-A901-2A25738FA3C3}" name="Id_Vds" displayName="Id_Vds" ref="A2:J53" tableType="queryTable" totalsRowShown="0">
  <autoFilter ref="A2:J53" xr:uid="{2A9CBFCA-8966-48C1-A901-2A25738FA3C3}"/>
  <tableColumns count="10">
    <tableColumn id="1" xr3:uid="{A0C70777-CC68-4F35-8179-D6D8D4A05AAB}" uniqueName="1" name="Vds_at_Vgs_0.4V" queryTableFieldId="11" dataDxfId="38"/>
    <tableColumn id="2" xr3:uid="{37EBDE7D-C7B4-4369-B455-FB25291B5044}" uniqueName="2" name="Id" queryTableFieldId="12" dataDxfId="37"/>
    <tableColumn id="3" xr3:uid="{2426AD4F-420A-411E-9CEB-9475C981D50F}" uniqueName="3" name="Vds_at_Vgs_0.5V" queryTableFieldId="13" dataDxfId="36"/>
    <tableColumn id="4" xr3:uid="{19EC1F02-6FCD-4C50-BB58-74ED5120258A}" uniqueName="4" name="Id_1" queryTableFieldId="14" dataDxfId="35"/>
    <tableColumn id="5" xr3:uid="{4A417603-C90C-4D37-98DF-754BF5F26D1E}" uniqueName="5" name="Vds_at_Vgs_0.6V" queryTableFieldId="15" dataDxfId="34"/>
    <tableColumn id="6" xr3:uid="{35DD2199-0A8B-4231-A602-87FD46671BCE}" uniqueName="6" name="Id_2" queryTableFieldId="16" dataDxfId="33"/>
    <tableColumn id="7" xr3:uid="{277D3AF5-E8F4-474D-BF14-357449FCB686}" uniqueName="7" name="Vds_at_Vgs_0.7V" queryTableFieldId="17" dataDxfId="32"/>
    <tableColumn id="8" xr3:uid="{3E29F1C6-1148-41B2-91FD-247D97AC389A}" uniqueName="8" name="Id_3" queryTableFieldId="18" dataDxfId="31"/>
    <tableColumn id="9" xr3:uid="{B7B96F6F-F291-43F4-A6D7-2A8A78FD71EB}" uniqueName="9" name="Vds_at_Vgs_0.8V" queryTableFieldId="19" dataDxfId="30"/>
    <tableColumn id="10" xr3:uid="{8CAC7F3B-6D22-46E9-BA23-D0D3B97E23E3}" uniqueName="10" name="Id_4" queryTableFieldId="20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4BC6F-7747-4D41-B902-7941049D6003}" name="Sqrt_Id_Vgs" displayName="Sqrt_Id_Vgs" ref="A2:J53" tableType="queryTable" totalsRowShown="0">
  <autoFilter ref="A2:J53" xr:uid="{E664BC6F-7747-4D41-B902-7941049D6003}"/>
  <tableColumns count="10">
    <tableColumn id="1" xr3:uid="{7E41902F-33FD-4E2F-9A41-34743E86CD56}" uniqueName="1" name="Vgs_at_Vds_0.4V" queryTableFieldId="1"/>
    <tableColumn id="2" xr3:uid="{AD1916C0-F865-4998-9B2A-9F2E6966AF28}" uniqueName="2" name="Square_root_of_Id" queryTableFieldId="2"/>
    <tableColumn id="3" xr3:uid="{B5D62DD6-B9AE-4C06-BC76-66648A74B816}" uniqueName="3" name="Vgs_at_Vds_0.5V" queryTableFieldId="3"/>
    <tableColumn id="4" xr3:uid="{0DD591D8-7D24-4334-A75B-2DDF17EB171A}" uniqueName="4" name="Square_root_of_Id_1" queryTableFieldId="4"/>
    <tableColumn id="5" xr3:uid="{C53E10A1-4FA1-42BE-9B28-389411E4D086}" uniqueName="5" name="Vgs_at_Vds_0.6V" queryTableFieldId="5"/>
    <tableColumn id="6" xr3:uid="{345E7B9F-D156-4117-A9DF-FF47DB943E4F}" uniqueName="6" name="Square_root_of_Id_2" queryTableFieldId="6"/>
    <tableColumn id="7" xr3:uid="{0B2519D7-0508-41ED-AAB1-F5D5AFC97637}" uniqueName="7" name="Vgs_at_Vds_0.7V" queryTableFieldId="7"/>
    <tableColumn id="8" xr3:uid="{71A5E84F-A125-4E42-9A1E-B29F11BC472D}" uniqueName="8" name="Square_root_of_Id_3" queryTableFieldId="8"/>
    <tableColumn id="9" xr3:uid="{74C2C504-FEBB-48CE-8A71-CB01E6439828}" uniqueName="9" name="Vgs_at_Vds_0.8V" queryTableFieldId="9"/>
    <tableColumn id="10" xr3:uid="{C7D6FD49-0724-40F3-BED7-4ED1D0B3A8DC}" uniqueName="10" name="Square_root_of_Id_4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6F90E14-706C-4E67-B412-8C61D0FA10E4}" name="Vt_Vbs" displayName="Vt_Vbs" ref="A2:J83" tableType="queryTable" totalsRowShown="0">
  <autoFilter ref="A2:J83" xr:uid="{E6F90E14-706C-4E67-B412-8C61D0FA10E4}"/>
  <tableColumns count="10">
    <tableColumn id="1" xr3:uid="{3E3E873D-AB30-48A9-909E-9951FA616B8A}" uniqueName="1" name="Vgs" queryTableFieldId="1"/>
    <tableColumn id="2" xr3:uid="{C8B15240-1765-4CE7-8D5B-D3283EC92551}" uniqueName="2" name="Square_root_of_Id_at_Vbs_0.8V" queryTableFieldId="2"/>
    <tableColumn id="3" xr3:uid="{08BD23CC-3020-4339-86EE-894E93726B7A}" uniqueName="3" name="Vgs_1" queryTableFieldId="3"/>
    <tableColumn id="4" xr3:uid="{AF3E623B-0253-4E6C-96BE-BE5AE54287C0}" uniqueName="4" name="Square_root_of_Id_at_Vbs_0.6V" queryTableFieldId="4"/>
    <tableColumn id="5" xr3:uid="{95CC8119-D61F-45E3-8977-619FA9557BF3}" uniqueName="5" name="Vgs_2" queryTableFieldId="5"/>
    <tableColumn id="6" xr3:uid="{BF0FCBC3-8AC8-44AF-8B22-1CD53D5F3149}" uniqueName="6" name="Square_root_of_Id_at_Vbs_0.4V" queryTableFieldId="6"/>
    <tableColumn id="7" xr3:uid="{9FA671C0-9AAE-4A4A-A5CC-AEE9055DAA9C}" uniqueName="7" name="Vgs_3" queryTableFieldId="7"/>
    <tableColumn id="8" xr3:uid="{E1CC0574-3085-4C9C-A619-045BBE82BB5A}" uniqueName="8" name="Square_root_of_Id_at_Vbs_0.2V" queryTableFieldId="8"/>
    <tableColumn id="9" xr3:uid="{6A590879-D6BF-4C0D-AC45-95B2817921C4}" uniqueName="9" name="Vgs_4" queryTableFieldId="9"/>
    <tableColumn id="10" xr3:uid="{F5746999-4D1E-4DF0-B238-8E44C65B411C}" uniqueName="10" name="Square_root_of_Id_at_Vbs_0V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0BCC27-16C6-4BBB-BD74-F78D55AD503E}" name="Vds_sat" displayName="Vds_sat" ref="B8:C13" tableType="queryTable" totalsRowShown="0">
  <autoFilter ref="B8:C13" xr:uid="{790BCC27-16C6-4BBB-BD74-F78D55AD503E}"/>
  <tableColumns count="2">
    <tableColumn id="1" xr3:uid="{21AEBA82-9764-46B9-A8FB-8FDAF05EA00A}" uniqueName="1" name="Vgs" queryTableFieldId="3" dataDxfId="28"/>
    <tableColumn id="2" xr3:uid="{CB014B9F-E861-49C1-A095-E8D17CE821A2}" uniqueName="2" name="Vds_sat" queryTableFieldId="4" dataDxfId="2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1E9435-6065-4076-9552-BC43FCE6733C}" name="K_and_VT0_1" displayName="K_and_VT0_1" ref="A2:J15" tableType="queryTable" totalsRowShown="0">
  <autoFilter ref="A2:J15" xr:uid="{C11E9435-6065-4076-9552-BC43FCE6733C}"/>
  <tableColumns count="10">
    <tableColumn id="1" xr3:uid="{87117E66-21F7-4305-B8A4-99E1E2C5FA15}" uniqueName="1" name="Vgs_at_Vds_0.4V" queryTableFieldId="1"/>
    <tableColumn id="2" xr3:uid="{03E8CCD9-B385-4B72-9A51-F213B253CD4A}" uniqueName="2" name="Square_root_of_Id" queryTableFieldId="2"/>
    <tableColumn id="3" xr3:uid="{4BB4268C-3240-4C51-BCF7-434521F7C207}" uniqueName="3" name="Vgs_at_Vds_0.5V" queryTableFieldId="3"/>
    <tableColumn id="4" xr3:uid="{BFDBFD81-109C-493D-A4A2-59A26D545539}" uniqueName="4" name="Square_root_of_Id_1" queryTableFieldId="4"/>
    <tableColumn id="5" xr3:uid="{9296C8EA-1FFD-4724-BD3B-F7AE502984DC}" uniqueName="5" name="Vgs_at_Vds_0.6V" queryTableFieldId="5"/>
    <tableColumn id="6" xr3:uid="{648A46EF-F49A-48CB-B153-CC9B27E1D0C8}" uniqueName="6" name="Square_root_of_Id_2" queryTableFieldId="6"/>
    <tableColumn id="7" xr3:uid="{4C7801B1-99E6-4086-8225-F8B13CEA29D9}" uniqueName="7" name="Vgs_at_Vds_0.7V" queryTableFieldId="7"/>
    <tableColumn id="8" xr3:uid="{3ED2A5D9-1928-4B08-9284-275B8B77B3CB}" uniqueName="8" name="Square_root_of_Id_3" queryTableFieldId="8"/>
    <tableColumn id="9" xr3:uid="{02F2FBDB-C4FC-41C9-824F-07D46079201A}" uniqueName="9" name="Vgs_at_Vds_0.8V" queryTableFieldId="9"/>
    <tableColumn id="10" xr3:uid="{79A7B1DE-7ECA-43D2-AFB4-449246C6EB5C}" uniqueName="10" name="Square_root_of_Id_4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01EC5C-0A4A-4A7C-8611-877BA41D490F}" name="Results_for_K_and_VT0" displayName="Results_for_K_and_VT0" ref="L2:P7" totalsRowShown="0" headerRowDxfId="26">
  <autoFilter ref="L2:P7" xr:uid="{EA01EC5C-0A4A-4A7C-8611-877BA41D490F}"/>
  <tableColumns count="5">
    <tableColumn id="1" xr3:uid="{5C193B15-9314-4E91-9037-28AD3418F9E6}" name="Vds"/>
    <tableColumn id="2" xr3:uid="{3569B610-FADB-4973-94FC-809E0AF9F679}" name="m"/>
    <tableColumn id="3" xr3:uid="{FD7FC04A-B16B-4CFC-A2EA-16C38750AB1F}" name="Id0"/>
    <tableColumn id="4" xr3:uid="{A8E5EC0D-9ED2-44E5-A42E-1C42B92F8971}" name="K">
      <calculatedColumnFormula>2*M3*M3*10^6</calculatedColumnFormula>
    </tableColumn>
    <tableColumn id="5" xr3:uid="{A5DEC753-449C-4A4F-BFA8-C36A58BA6134}" name="VT0">
      <calculatedColumnFormula>ABS(N3/M3)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2AA75-86DE-4D55-B6D3-34DC3722EBA9}" name="Lambda" displayName="Lambda" ref="A2:J27" tableType="queryTable" totalsRowShown="0">
  <autoFilter ref="A2:J27" xr:uid="{4632AA75-86DE-4D55-B6D3-34DC3722EBA9}"/>
  <tableColumns count="10">
    <tableColumn id="1" xr3:uid="{EC3A6101-3E6A-463F-BF15-54FB9E9508F5}" uniqueName="1" name="Vds_at_Vgs_0.4V" queryTableFieldId="1"/>
    <tableColumn id="2" xr3:uid="{DEC75FB4-A5EF-4FEC-821A-44273E0BCAD0}" uniqueName="2" name="Id" queryTableFieldId="2"/>
    <tableColumn id="3" xr3:uid="{443D477D-87FA-4A14-B60D-BB4A3F0C5B82}" uniqueName="3" name="Vds_at_Vgs_0.5V" queryTableFieldId="3"/>
    <tableColumn id="4" xr3:uid="{0D94EE9D-ACA8-4F73-AEA3-26B7B45211F8}" uniqueName="4" name="Id_1" queryTableFieldId="4"/>
    <tableColumn id="5" xr3:uid="{D2A4477C-85C0-4D04-9BF2-9C264C052820}" uniqueName="5" name="Vds_at_Vgs_0.6V" queryTableFieldId="5"/>
    <tableColumn id="6" xr3:uid="{657E65BC-7447-439A-BEFE-16E46BD19732}" uniqueName="6" name="Id_2" queryTableFieldId="6"/>
    <tableColumn id="7" xr3:uid="{574285CA-65D2-4C66-AE66-A79B7FA7F703}" uniqueName="7" name="Vds_at_Vgs_0.7V" queryTableFieldId="7"/>
    <tableColumn id="8" xr3:uid="{EB55717E-8633-4EB7-B56D-240F7E337925}" uniqueName="8" name="Id_3" queryTableFieldId="8"/>
    <tableColumn id="9" xr3:uid="{CE606FCB-03BF-4629-876F-5FA8018932B1}" uniqueName="9" name="Vds_at_Vgs_0.8V" queryTableFieldId="9"/>
    <tableColumn id="10" xr3:uid="{F5889796-D464-4808-BBA2-182213F391AC}" uniqueName="10" name="Id_4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4A5879-6D83-4133-8EB3-F54919880AC4}" name="Results_for_Lambda" displayName="Results_for_Lambda" ref="L2:O7" totalsRowShown="0" headerRowDxfId="25">
  <autoFilter ref="L2:O7" xr:uid="{654A5879-6D83-4133-8EB3-F54919880AC4}"/>
  <tableColumns count="4">
    <tableColumn id="1" xr3:uid="{766DAC93-298B-4328-8576-3C8D15441F17}" name="Vgs"/>
    <tableColumn id="2" xr3:uid="{5E9A2E26-7C62-4878-B943-7659D010C869}" name="m "/>
    <tableColumn id="3" xr3:uid="{5D5A029E-5EC6-47EC-B163-63C5857538A0}" name="Id0 "/>
    <tableColumn id="4" xr3:uid="{C94B3A23-1F24-4DF0-9B3A-BCFCC31CBE0A}" name="λ">
      <calculatedColumnFormula>M3/N3*1000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7A05E9F-E06D-4A57-B782-372B3F8B3433}" name="Gamma" displayName="Gamma" ref="A2:J22" tableType="queryTable" totalsRowShown="0">
  <autoFilter ref="A2:J22" xr:uid="{27A05E9F-E06D-4A57-B782-372B3F8B3433}"/>
  <tableColumns count="10">
    <tableColumn id="1" xr3:uid="{15F6BE60-FCF6-4BB9-97EB-2FF339DF3E9E}" uniqueName="1" name="Vgs" queryTableFieldId="1"/>
    <tableColumn id="2" xr3:uid="{36098DAB-E06F-48AC-B488-0FD948671C59}" uniqueName="2" name="Square_root_of_Id_at_Vbs_0.8V" queryTableFieldId="2"/>
    <tableColumn id="3" xr3:uid="{E65676E5-B42B-40EC-BE8C-800CABD31278}" uniqueName="3" name="Vgs_1" queryTableFieldId="3"/>
    <tableColumn id="4" xr3:uid="{643DB312-AF68-443E-AC68-8661C73FBB2D}" uniqueName="4" name="Square_root_of_Id_at_Vbs_0.6V" queryTableFieldId="4"/>
    <tableColumn id="5" xr3:uid="{9E446773-00E3-4A15-8EEE-10EB59F9156C}" uniqueName="5" name="Vgs_2" queryTableFieldId="5"/>
    <tableColumn id="6" xr3:uid="{6F09FC9C-9E16-4E05-90F7-F1B8521B6FCB}" uniqueName="6" name="Square_root_of_Id_at_Vbs_0.4V" queryTableFieldId="6"/>
    <tableColumn id="7" xr3:uid="{EC4F31DC-D795-4923-B94B-568BD122944B}" uniqueName="7" name="Vgs_3" queryTableFieldId="7"/>
    <tableColumn id="8" xr3:uid="{58144771-AA17-496A-8B2A-E757BAC187B7}" uniqueName="8" name="Square_root_of_Id_at_Vbs_0.2V" queryTableFieldId="8"/>
    <tableColumn id="9" xr3:uid="{34723D4F-49E2-4EA0-A62A-4859208679C8}" uniqueName="9" name="Vgs_4" queryTableFieldId="9"/>
    <tableColumn id="10" xr3:uid="{6C88E90C-46C0-4DFF-8D43-5A7971E0D0A4}" uniqueName="10" name="Square_root_of_Id_at_Vbs_0V" queryTableField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CB7442D-2396-437F-A49B-93CCE3DE24EF}" name="Results_for_Gamma" displayName="Results_for_Gamma" ref="L2:P7" totalsRowShown="0" headerRowDxfId="24">
  <autoFilter ref="L2:P7" xr:uid="{ACB7442D-2396-437F-A49B-93CCE3DE24EF}"/>
  <tableColumns count="5">
    <tableColumn id="1" xr3:uid="{DE9DFCFC-2071-46A9-BA8F-983F52EDEE8B}" name="Vbs"/>
    <tableColumn id="2" xr3:uid="{2CF377D4-8188-436F-91FE-8994FE1E959D}" name="m "/>
    <tableColumn id="3" xr3:uid="{B950D9DC-34B5-4026-BB68-758A4B37B415}" name="Id0" dataDxfId="23">
      <calculatedColumnFormula>INTERCEPT(Gamma[Square_root_of_Id_at_Vbs_0V],Gamma[Vgs_4])</calculatedColumnFormula>
    </tableColumn>
    <tableColumn id="4" xr3:uid="{AF83080B-7BCA-4981-A54E-54E1F50AA271}" name="K">
      <calculatedColumnFormula>2*M3*M3*10^6</calculatedColumnFormula>
    </tableColumn>
    <tableColumn id="5" xr3:uid="{56F451D8-6B17-48A0-BB32-F3DDDA6C8D04}" name="VT0">
      <calculatedColumnFormula>ABS(N3/M3)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F18969-CF97-4AB7-A848-31142F9D5204}" name="VT0_and_Vds_coeffs" displayName="VT0_and_Vds_coeffs" ref="A2:B9" tableType="queryTable" totalsRowShown="0">
  <autoFilter ref="A2:B9" xr:uid="{AEF18969-CF97-4AB7-A848-31142F9D5204}"/>
  <tableColumns count="2">
    <tableColumn id="1" xr3:uid="{6CA3B87A-4A1D-406E-B912-13307E26B52D}" uniqueName="1" name="Vds_at_Vgs_0.4V" queryTableFieldId="1"/>
    <tableColumn id="2" xr3:uid="{EFC50AA8-C3B4-4E47-8D2C-6E4350738BED}" uniqueName="2" name="Id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2A1908-28C7-4569-B7C4-965B123D3C12}" name="VT0_and_Vds_coeffs_2" displayName="VT0_and_Vds_coeffs_2" ref="C2:D11" tableType="queryTable" totalsRowShown="0">
  <autoFilter ref="C2:D11" xr:uid="{8A2A1908-28C7-4569-B7C4-965B123D3C12}"/>
  <tableColumns count="2">
    <tableColumn id="3" xr3:uid="{8DAAAEEA-F2A8-4A74-8C9C-974D90D5A239}" uniqueName="3" name="Vds_at_Vgs_0.5V" queryTableFieldId="3"/>
    <tableColumn id="4" xr3:uid="{25ED4A8A-661F-4A76-8A4C-74AE5F4DE864}" uniqueName="4" name="Id_1" queryTableFieldId="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B8D484C-36C3-4E56-A2CD-F365DA095809}" name="VT0_and_Vds_coeffs_3" displayName="VT0_and_Vds_coeffs_3" ref="E2:F13" tableType="queryTable" totalsRowShown="0">
  <autoFilter ref="E2:F13" xr:uid="{5B8D484C-36C3-4E56-A2CD-F365DA095809}"/>
  <tableColumns count="2">
    <tableColumn id="1" xr3:uid="{C2DFBE3B-0E56-4158-B57C-D2CB4442459E}" uniqueName="1" name="Vds_at_Vgs_0.6V" queryTableFieldId="1"/>
    <tableColumn id="2" xr3:uid="{AF029BDB-E18F-4A5B-BEF8-7359C5587381}" uniqueName="2" name="Id_2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010A74-1F72-4E27-835C-9DFAFD0E4D15}" name="VT0_and_Vds_coeffs_4" displayName="VT0_and_Vds_coeffs_4" ref="G2:H15" tableType="queryTable" totalsRowShown="0">
  <autoFilter ref="G2:H15" xr:uid="{82010A74-1F72-4E27-835C-9DFAFD0E4D15}"/>
  <tableColumns count="2">
    <tableColumn id="1" xr3:uid="{AA61AF1C-0FB2-4F38-A750-8A1779E3CFEE}" uniqueName="1" name="Vds_at_Vgs_0.7V" queryTableFieldId="1"/>
    <tableColumn id="2" xr3:uid="{6A591B14-E684-4B9B-8EE2-7D9F75DA5186}" uniqueName="2" name="Id_3" queryTableFieldId="2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E4AD696-476F-4D3B-844A-88412DF0FCDB}" name="VT0_and_Vds_coeffs_5" displayName="VT0_and_Vds_coeffs_5" ref="I2:J18" tableType="queryTable" totalsRowShown="0">
  <autoFilter ref="I2:J18" xr:uid="{5E4AD696-476F-4D3B-844A-88412DF0FCDB}"/>
  <tableColumns count="2">
    <tableColumn id="1" xr3:uid="{4F7C4BB6-9C4D-4A43-A15C-BBF7D01A2F9C}" uniqueName="1" name="Vds_at_Vgs_0.8V" queryTableFieldId="1"/>
    <tableColumn id="2" xr3:uid="{5C7200E7-D52E-4211-B9CD-80192099C5CA}" uniqueName="2" name="Id_4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C4DE5C1-11B0-43DA-A0D0-ED01CD2C18B9}" name="Results_for_VT0_and_Vds_Coefs" displayName="Results_for_VT0_and_Vds_Coefs" ref="R2:T7" totalsRowShown="0" headerRowDxfId="22">
  <autoFilter ref="R2:T7" xr:uid="{DC4DE5C1-11B0-43DA-A0D0-ED01CD2C18B9}"/>
  <tableColumns count="3">
    <tableColumn id="1" xr3:uid="{5257B4BC-565E-4187-A1A5-40F58D7B28A2}" name="VT0_Coef">
      <calculatedColumnFormula>(Q3-O3*10^6/4/L3)/M3</calculatedColumnFormula>
    </tableColumn>
    <tableColumn id="2" xr3:uid="{43B53B0C-3419-440A-8956-DEEFF002F59D}" name="Vds_Coef">
      <calculatedColumnFormula>N3*10^6/4/L3</calculatedColumnFormula>
    </tableColumn>
    <tableColumn id="3" xr3:uid="{C4BADFBF-64AC-4F5A-A09E-1C22148E9C66}" name="Neg_Vds_Coef" dataDxfId="21">
      <calculatedColumnFormula>-1*Results_for_VT0_and_Vds_Coefs[[#This Row],[Vds_Coef]]</calculatedColumnFormula>
    </tableColumn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5DA65C-CA02-459F-B6B3-494F2D34B5C8}" name="Id_Vds_Plot" displayName="Id_Vds_Plot" ref="A2:H53" tableType="queryTable" totalsRowShown="0">
  <autoFilter ref="A2:H53" xr:uid="{ED5DA65C-CA02-459F-B6B3-494F2D34B5C8}"/>
  <tableColumns count="8">
    <tableColumn id="1" xr3:uid="{C9BC45B1-23D8-498C-A387-4CA23BD7CD1A}" uniqueName="1" name="Vds" queryTableFieldId="1"/>
    <tableColumn id="2" xr3:uid="{1A730D56-64FB-413E-8B50-6FC081F378B1}" uniqueName="2" name="Id_at_Vgs_0.4V" queryTableFieldId="2"/>
    <tableColumn id="3" xr3:uid="{A4410DEB-0DE6-4FE0-B53D-263D7411DE96}" uniqueName="3" name="Id_at_Vgs_0.5V" queryTableFieldId="3"/>
    <tableColumn id="4" xr3:uid="{E1C397C7-0F4B-4108-BC18-9CFCD0B7BF57}" uniqueName="4" name="Id_at_Vgs_0.6V" queryTableFieldId="4"/>
    <tableColumn id="5" xr3:uid="{13892B7D-0645-4C29-9756-E2968368ED3A}" uniqueName="5" name="Id_at_Vgs_0.7V" queryTableFieldId="5"/>
    <tableColumn id="6" xr3:uid="{77662F1D-56A0-47FB-9EB2-6AEB794D2D1B}" uniqueName="6" name="Id_at_Vgs_0.8V" queryTableFieldId="6"/>
    <tableColumn id="7" xr3:uid="{2809DC33-BABC-493C-A953-894B8A350FB5}" uniqueName="7" name="Our_model" queryTableFieldId="7" dataDxfId="40">
      <calculatedColumnFormula>IF($X$9&lt;$X$10,0,IF(A3/1000&lt;$X$9*$X$3+$Y$3/1000,4*$X$11*(A3/1000)*($X$9-($X$13*$X$9+$Y$4)*$X$10-($X$5*$X$9*$X$9+$Y$5*$X$9+$Z$5)*A3/1000)*(1+A3/1000*($X$6*$X$9*$X$9*$X$9+$Y$6*$X$9*$X$9+$Z$6*$X$9+$AA$6)),($X$11/$X$12)*($X$9-$X$10)*($X$9-$X$10)*(1+A3/1000*($X$6*$X$9*$X$9*$X$9+$Y$6*$X$9*$X$9+$Z$6*$X$9+$AA$6))))</calculatedColumnFormula>
    </tableColumn>
    <tableColumn id="8" xr3:uid="{DC8F9C6D-A757-4E18-9EC8-8C1F2A51770B}" uniqueName="8" name="Spline_Interpolation" queryTableFieldId="8" dataDxfId="39">
      <calculatedColumnFormula array="1">_xll.SRS1Splines.Functions25.Cubic_Spline($Z$9:$Z$13,B3:F3,$X$9)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338042C-8F1C-43E5-B665-1497CB1FDEDE}" name="Id_Vds_Plot_Spectre_SAED14" displayName="Id_Vds_Plot_Spectre_SAED14" ref="N2:O53" tableType="queryTable" totalsRowShown="0">
  <autoFilter ref="N2:O53" xr:uid="{3338042C-8F1C-43E5-B665-1497CB1FDEDE}"/>
  <tableColumns count="2">
    <tableColumn id="1" xr3:uid="{EF02E1D1-D593-4051-81AB-6970FB2C7460}" uniqueName="1" name="Vds" queryTableFieldId="1"/>
    <tableColumn id="2" xr3:uid="{832C5D7D-C0A9-44D7-AB43-6557EDA74B0C}" uniqueName="2" name="Id" queryTableField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6DE9C57-B948-4E97-8CE1-CEBBD2F7BC5B}" name="Id_Vds__Plot_Spectre_GPDK" displayName="Id_Vds__Plot_Spectre_GPDK" ref="J2:K53" tableType="queryTable" totalsRowShown="0">
  <autoFilter ref="J2:K53" xr:uid="{16DE9C57-B948-4E97-8CE1-CEBBD2F7BC5B}"/>
  <tableColumns count="2">
    <tableColumn id="1" xr3:uid="{5191B0A7-FE3B-48A7-83EA-D5F07E09F3F1}" uniqueName="1" name="Vds" queryTableFieldId="1"/>
    <tableColumn id="2" xr3:uid="{FB925C60-7C9D-44CA-AEE2-C0B2D4C3857B}" uniqueName="2" name="Id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B677368-8716-45F0-8090-F677246D1C24}" name="Id_Vds__Plot_Spectre_PTM" displayName="Id_Vds__Plot_Spectre_PTM" ref="L2:M53" tableType="queryTable" totalsRowShown="0">
  <autoFilter ref="L2:M53" xr:uid="{DB677368-8716-45F0-8090-F677246D1C24}"/>
  <tableColumns count="2">
    <tableColumn id="1" xr3:uid="{19E78546-991F-4FA9-B7EC-9A4F27E1F189}" uniqueName="1" name="Vds" queryTableFieldId="1"/>
    <tableColumn id="2" xr3:uid="{5A5C3D44-26F3-4A2E-BD2A-255BE74C4416}" uniqueName="2" name="Id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83DACEA-1EEF-4A53-83AA-CCE146C27343}" name="Id_Vsd__Plot_Spectre_GPDK" displayName="Id_Vsd__Plot_Spectre_GPDK" ref="P2:Q53" tableType="queryTable" totalsRowShown="0">
  <autoFilter ref="P2:Q53" xr:uid="{083DACEA-1EEF-4A53-83AA-CCE146C27343}"/>
  <tableColumns count="2">
    <tableColumn id="1" xr3:uid="{DAB38C47-61A1-4C0D-A2B5-0997FA07B5FD}" uniqueName="1" name="Vds" queryTableFieldId="1"/>
    <tableColumn id="2" xr3:uid="{FC16C194-1E1A-423B-96FD-E1673F2A208B}" uniqueName="2" name="Id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3C4DE910-35C8-4D0A-8C34-39606366FFDB}" name="Id_Vsd__Plot_Spectre_PTM" displayName="Id_Vsd__Plot_Spectre_PTM" ref="R2:S53" tableType="queryTable" totalsRowShown="0">
  <autoFilter ref="R2:S53" xr:uid="{3C4DE910-35C8-4D0A-8C34-39606366FFDB}"/>
  <tableColumns count="2">
    <tableColumn id="1" xr3:uid="{A8E93826-F02C-41CF-B3E1-BC502CDA702B}" uniqueName="1" name="Vds" queryTableFieldId="1"/>
    <tableColumn id="2" xr3:uid="{E7B7572A-BD48-4F1E-8DC6-DDB2F5A08349}" uniqueName="2" name="Id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FD7A37A-3953-410E-9620-033ABEFE20D7}" name="Id_Vsd__Plot_Spectre_SAED14" displayName="Id_Vsd__Plot_Spectre_SAED14" ref="T2:U53" tableType="queryTable" totalsRowShown="0">
  <autoFilter ref="T2:U53" xr:uid="{BFD7A37A-3953-410E-9620-033ABEFE20D7}"/>
  <tableColumns count="2">
    <tableColumn id="1" xr3:uid="{E426302B-3486-48BE-8F90-C4FA2562DC01}" uniqueName="1" name="Vds" queryTableFieldId="1"/>
    <tableColumn id="2" xr3:uid="{2C651B65-85FD-4D28-9F54-33CF3851AF58}" uniqueName="2" name="Id" queryTableFieldId="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49D7AC-752E-4301-A6A1-8CC1948FCDAA}" name="Sqrt_Id_Vgs_Plot" displayName="Sqrt_Id_Vgs_Plot" ref="A2:H53" tableType="queryTable" totalsRowShown="0">
  <autoFilter ref="A2:H53" xr:uid="{1A49D7AC-752E-4301-A6A1-8CC1948FCDAA}"/>
  <tableColumns count="8">
    <tableColumn id="1" xr3:uid="{EA972DD9-0628-444A-A540-0217FA51CE72}" uniqueName="1" name="Vgs" queryTableFieldId="1"/>
    <tableColumn id="2" xr3:uid="{41FB5FFB-435A-48C7-B325-4646EC74F676}" uniqueName="2" name="Square_root_of_Id_at_Vds_0.4V" queryTableFieldId="2"/>
    <tableColumn id="3" xr3:uid="{11792915-578C-4445-8D8A-6E43ED2F36CE}" uniqueName="3" name="Square_root_of_Id_at_Vds_0.5V" queryTableFieldId="3"/>
    <tableColumn id="4" xr3:uid="{3CAE0D67-F1FD-486E-889A-3DA57966EE22}" uniqueName="4" name="Square_root_of_Id_at_Vds_0.6V" queryTableFieldId="4"/>
    <tableColumn id="5" xr3:uid="{8988C362-CDFB-45ED-955C-54A59CFA2968}" uniqueName="5" name="Square_root_of_Id_at_Vds_0.7V" queryTableFieldId="5"/>
    <tableColumn id="6" xr3:uid="{D1AE75A2-815D-4B60-BC7E-BDDCE1EE2ECD}" uniqueName="6" name="Square_root_of_Id_at_Vds_0.8V" queryTableFieldId="6"/>
    <tableColumn id="7" xr3:uid="{52202D13-A5A4-4F46-BD42-CA7E2F6EB67C}" uniqueName="7" name="Our_model" queryTableFieldId="7" dataDxfId="20">
      <calculatedColumnFormula>SQRT(IF((A3/1000)&lt;$X$10,0,IF($X$9&lt;(A3/1000)*$X$3+$Y$3/1000,4*$X$11*$X$9*((A3/1000)-($X$13*(A3/1000)+$Y$4)*$X$10-($X$5*(A3/1000)*(A3/1000)+$Y$5*(A3/1000)+$Z$5)*$X$9)*(1+$X$9*($X$6*(A3/1000)*(A3/1000)*(A3/1000)+$Y$6*(A3/1000)*(A3/1000)+$Z$6*(A3/1000)+$AA$6)),($X$11/$X$12)*((A3/1000)-$X$10)*((A3/1000)-$X$10)*(1+$X$9*($X$6*(A3/1000)*(A3/1000)*(A3/1000)+$Y$6*(A3/1000)*(A3/1000)+$Z$6*(A3/1000)+$AA$6)))))</calculatedColumnFormula>
    </tableColumn>
    <tableColumn id="8" xr3:uid="{2A752822-EDC8-4E20-8051-B4EB38653CD4}" uniqueName="8" name="Spline_Interpolation" queryTableFieldId="8" dataDxfId="19">
      <calculatedColumnFormula array="1">_xll.SRS1Splines.Functions25.Cubic_Spline($Z$9:$Z$13,B3:F3,$X$9)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92EAFE-05F0-4A60-8F8F-9E21F6F64742}" name="Sqrt_Id_Vgs_Plot_Spectre" displayName="Sqrt_Id_Vgs_Plot_Spectre" ref="N2:O53" tableType="queryTable" totalsRowShown="0">
  <autoFilter ref="N2:O53" xr:uid="{E492EAFE-05F0-4A60-8F8F-9E21F6F64742}"/>
  <tableColumns count="2">
    <tableColumn id="1" xr3:uid="{FC0D9762-845E-491B-B695-319BF14FD033}" uniqueName="1" name="Vgs" queryTableFieldId="1"/>
    <tableColumn id="2" xr3:uid="{BB7BF691-F022-434C-A277-4F6284A6B0A8}" uniqueName="2" name="Sqrt_Id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FF83F673-FA46-4D31-B91C-5BDB50A5641E}" name="Sqrt_Id_Vgs___Plot_Spectre_GPDK" displayName="Sqrt_Id_Vgs___Plot_Spectre_GPDK" ref="J2:K53" tableType="queryTable" totalsRowShown="0">
  <autoFilter ref="J2:K53" xr:uid="{FF83F673-FA46-4D31-B91C-5BDB50A5641E}"/>
  <tableColumns count="2">
    <tableColumn id="1" xr3:uid="{BCBD5546-E27F-4630-ABE4-959C0A7A2883}" uniqueName="1" name="Vgs" queryTableFieldId="1"/>
    <tableColumn id="2" xr3:uid="{4DDC5332-5E0D-442D-9D5A-1921B2D275D8}" uniqueName="2" name="Sqrt_Id" queryTableFieldId="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5546D44A-DD22-4827-82A0-236E5B004E00}" name="Sqrt_Id_Vgs___Plot_Spectre_PTM" displayName="Sqrt_Id_Vgs___Plot_Spectre_PTM" ref="L2:M53" tableType="queryTable" totalsRowShown="0">
  <autoFilter ref="L2:M53" xr:uid="{5546D44A-DD22-4827-82A0-236E5B004E00}"/>
  <tableColumns count="2">
    <tableColumn id="1" xr3:uid="{444F0DBD-F923-4BD7-8AAE-4B6B7C4316AA}" uniqueName="1" name="Vgs" queryTableFieldId="1"/>
    <tableColumn id="2" xr3:uid="{062CEFDD-AEAC-472E-BE4B-71178C5EAFFB}" uniqueName="2" name="Sqrt_Id" queryTableFieldId="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CF4F7A5A-5640-41BD-B1DC-C44113CAAE26}" name="Sqrt_Id_Vsg___Plot_Spectre_GPDK" displayName="Sqrt_Id_Vsg___Plot_Spectre_GPDK" ref="P2:Q53" tableType="queryTable" totalsRowShown="0">
  <autoFilter ref="P2:Q53" xr:uid="{CF4F7A5A-5640-41BD-B1DC-C44113CAAE26}"/>
  <tableColumns count="2">
    <tableColumn id="1" xr3:uid="{73D159B7-F457-4186-8321-BFA70CC975BC}" uniqueName="1" name="Vgs" queryTableFieldId="1"/>
    <tableColumn id="2" xr3:uid="{E92060C8-59B0-43AB-8FC9-137328E9FB57}" uniqueName="2" name="Sqrt_Id" queryTableFieldId="2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BF9E8D5A-F938-4811-AA6C-CABC123E4B94}" name="Sqrt_Id_Vsg___Plot_Spectre_PTM" displayName="Sqrt_Id_Vsg___Plot_Spectre_PTM" ref="R2:S53" tableType="queryTable" totalsRowShown="0">
  <autoFilter ref="R2:S53" xr:uid="{BF9E8D5A-F938-4811-AA6C-CABC123E4B94}"/>
  <tableColumns count="2">
    <tableColumn id="1" xr3:uid="{976B5C30-1923-4950-9519-19601B176115}" uniqueName="1" name="Vgs" queryTableFieldId="1"/>
    <tableColumn id="2" xr3:uid="{42CB496B-FF56-4CD0-B767-F03922715E63}" uniqueName="2" name="Sqrt_Id" queryTableFieldId="2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7D69716C-7661-4770-8395-26BAAB81D622}" name="Sqrt_Id_Vsg___Plot_Spectre_SAED14" displayName="Sqrt_Id_Vsg___Plot_Spectre_SAED14" ref="T2:U53" tableType="queryTable" totalsRowShown="0">
  <autoFilter ref="T2:U53" xr:uid="{7D69716C-7661-4770-8395-26BAAB81D622}"/>
  <tableColumns count="2">
    <tableColumn id="1" xr3:uid="{0F9FE6BE-7172-45AF-BB1F-EC2094472E3C}" uniqueName="1" name="Vgs" queryTableFieldId="1"/>
    <tableColumn id="2" xr3:uid="{07E3845F-693F-4A16-9E41-05A64159054E}" uniqueName="2" name="Sqrt_Id" queryTableFieldId="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799E1F4-A80B-498C-B136-4D50F9C5D703}" name="Tabel26" displayName="Tabel26" ref="A1:A2" totalsRowShown="0" dataDxfId="18">
  <autoFilter ref="A1:A2" xr:uid="{F799E1F4-A80B-498C-B136-4D50F9C5D703}"/>
  <tableColumns count="1">
    <tableColumn id="1" xr3:uid="{00051F57-9722-4E1C-92FE-B81E49780260}" name="Putty_Path" dataDxfId="1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B93BF55-21E2-40F9-A5D2-5D882E2A239C}" name="Tabel28" displayName="Tabel28" ref="A22:A23" totalsRowShown="0">
  <autoFilter ref="A22:A23" xr:uid="{3B93BF55-21E2-40F9-A5D2-5D882E2A239C}"/>
  <tableColumns count="1">
    <tableColumn id="1" xr3:uid="{D4B77FDC-1823-40DD-9ECF-72AC01DF9576}" name="Id_wrt_Vds_DataPath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5C83EAB-F580-40F7-8B78-E8B8B9276CF9}" name="Tabel30" displayName="Tabel30" ref="A25:A26" totalsRowShown="0">
  <autoFilter ref="A25:A26" xr:uid="{F5C83EAB-F580-40F7-8B78-E8B8B9276CF9}"/>
  <tableColumns count="1">
    <tableColumn id="1" xr3:uid="{A85ED43D-B9F6-437E-AF74-4EF44BC0C0CE}" name="Sqrt_Id_wrt_Vgs_DataPath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71C38621-E501-4860-8080-3647B0F9C42E}" name="Tabel32" displayName="Tabel32" ref="A28:A29" totalsRowShown="0">
  <autoFilter ref="A28:A29" xr:uid="{71C38621-E501-4860-8080-3647B0F9C42E}"/>
  <tableColumns count="1">
    <tableColumn id="1" xr3:uid="{75E590D1-C4A8-4036-8A65-758CC1144ED6}" name="Vds_sat_DataPath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229B8E4-16EE-4FF4-B458-6FA905ECC1EF}" name="Tabel34" displayName="Tabel34" ref="A31:A32" totalsRowShown="0">
  <autoFilter ref="A31:A32" xr:uid="{3229B8E4-16EE-4FF4-B458-6FA905ECC1EF}"/>
  <tableColumns count="1">
    <tableColumn id="1" xr3:uid="{F90D9536-947A-4082-8349-3CE1623C45AE}" name="Vt_wrt_Vbs_DataPath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94ABE9A-8DF2-4433-ADB9-3688B4863F89}" name="Tabel36" displayName="Tabel36" ref="C1:C2" totalsRowShown="0">
  <autoFilter ref="C1:C2" xr:uid="{F94ABE9A-8DF2-4433-ADB9-3688B4863F89}"/>
  <tableColumns count="1">
    <tableColumn id="1" xr3:uid="{0B845C78-9524-4A16-BE5A-165A15963700}" name="Spectre_Id_wrt_Vds_NMOS_GPDK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292CDE7-A98F-4D15-8A82-9B3311588258}" name="Tabel38" displayName="Tabel38" ref="C4:C5" totalsRowShown="0">
  <autoFilter ref="C4:C5" xr:uid="{D292CDE7-A98F-4D15-8A82-9B3311588258}"/>
  <tableColumns count="1">
    <tableColumn id="1" xr3:uid="{813E20C9-8232-4055-95AD-B3E740D4ED36}" name="Spectre_Id_wrt_Vds_NMOS_PTM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8D77DA7-8E7D-4B68-8E8F-9A8AB9EA5896}" name="Tabel40" displayName="Tabel40" ref="C7:C8" totalsRowShown="0">
  <autoFilter ref="C7:C8" xr:uid="{58D77DA7-8E7D-4B68-8E8F-9A8AB9EA5896}"/>
  <tableColumns count="1">
    <tableColumn id="1" xr3:uid="{A9288DFC-AC61-4BE3-A147-3A25966DEA2E}" name="Spectre_Id_wrt_Vds_NMOS_SAED1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07C397A-8F4B-464F-88DE-4BB5EA8D1C99}" name="Tabel42" displayName="Tabel42" ref="C10:C11" totalsRowShown="0">
  <autoFilter ref="C10:C11" xr:uid="{D07C397A-8F4B-464F-88DE-4BB5EA8D1C99}"/>
  <tableColumns count="1">
    <tableColumn id="1" xr3:uid="{69B51087-C639-49AA-9AA5-BC1A9C743289}" name="Spectre_Id_wrt_Vds_PMOS_GPDK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D90D030-85B6-4D10-AA08-CC06E7B628DA}" name="Tabel44" displayName="Tabel44" ref="C13:C14" totalsRowShown="0">
  <autoFilter ref="C13:C14" xr:uid="{BD90D030-85B6-4D10-AA08-CC06E7B628DA}"/>
  <tableColumns count="1">
    <tableColumn id="1" xr3:uid="{F8C7D977-A7A3-43A9-A776-119AF86FAF62}" name="Spectre_Id_wrt_Vds_PMOS_PTM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F8ECDAEE-D8F6-4509-967D-A8CF256C9F27}" name="Tabel46" displayName="Tabel46" ref="C16:C17" totalsRowShown="0">
  <autoFilter ref="C16:C17" xr:uid="{F8ECDAEE-D8F6-4509-967D-A8CF256C9F27}"/>
  <tableColumns count="1">
    <tableColumn id="1" xr3:uid="{03A8C76B-CD62-40F5-B9C8-E3B7825868B5}" name="Spectre_Id_wrt_Vds_PMOS_SAED1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8BA80EB0-3158-44CB-9C30-B9222B071658}" name="Tabel48" displayName="Tabel48" ref="C19:C20" totalsRowShown="0">
  <autoFilter ref="C19:C20" xr:uid="{8BA80EB0-3158-44CB-9C30-B9222B071658}"/>
  <tableColumns count="1">
    <tableColumn id="1" xr3:uid="{0B4CF7D4-4D69-4829-A28A-AD80373B622F}" name="Spectre_Sqrt_Id_wrt_Vgs_NMOS_GPDK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B0FED1B8-BDAE-4BCA-93E5-557AD609B4E5}" name="Tabel50" displayName="Tabel50" ref="C22:C23" totalsRowShown="0">
  <autoFilter ref="C22:C23" xr:uid="{B0FED1B8-BDAE-4BCA-93E5-557AD609B4E5}"/>
  <tableColumns count="1">
    <tableColumn id="1" xr3:uid="{EE561E0E-2FDB-4992-B082-F32EBF2A5382}" name="Spectre_Sqrt_Id_wrt_Vgs_NMOS_PTM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CCB7085-92FD-48F9-8AD5-4F0FAC8DD0AD}" name="Tabel53" displayName="Tabel53" ref="C25:C26" totalsRowShown="0">
  <autoFilter ref="C25:C26" xr:uid="{CCCB7085-92FD-48F9-8AD5-4F0FAC8DD0AD}"/>
  <tableColumns count="1">
    <tableColumn id="1" xr3:uid="{85519C19-9E33-4C20-821D-465B97942C11}" name="Spectre_Sqrt_Id_wrt_Vgs_NMOS_SAED14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B91B592-FF1A-4223-A8AF-3727319B1562}" name="Tabel55" displayName="Tabel55" ref="C28:C29" totalsRowShown="0">
  <autoFilter ref="C28:C29" xr:uid="{7B91B592-FF1A-4223-A8AF-3727319B1562}"/>
  <tableColumns count="1">
    <tableColumn id="1" xr3:uid="{C12819E5-EA8E-4CB8-B65D-36C1E85CE365}" name="Spectre_Sqrt_Id_wrt_Vgs_PMOS_GPDK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37DA12-5C4E-4980-96E8-ED164A2F46C4}" name="Tabel57" displayName="Tabel57" ref="C31:C32" totalsRowShown="0">
  <autoFilter ref="C31:C32" xr:uid="{1837DA12-5C4E-4980-96E8-ED164A2F46C4}"/>
  <tableColumns count="1">
    <tableColumn id="1" xr3:uid="{DA075AE7-CCA3-4F62-A3B4-48273C02EF08}" name="Spectre_Sqrt_Id_wrt_Vgs_PMOS_PTM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3A4DCB7-275E-4C84-8021-33B6A280295C}" name="Tabel59" displayName="Tabel59" ref="C34:C35" totalsRowShown="0">
  <autoFilter ref="C34:C35" xr:uid="{A3A4DCB7-275E-4C84-8021-33B6A280295C}"/>
  <tableColumns count="1">
    <tableColumn id="1" xr3:uid="{C3090367-D333-4A8E-8903-11381D707AE6}" name="Spectre_Sqrt_Id_wrt_Vgs_PMOS_SAED14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276E4D8-5C48-4071-8C92-63D6A4967020}" name="Tabel52" displayName="Tabel52" ref="A4:A5" totalsRowShown="0">
  <autoFilter ref="A4:A5" xr:uid="{0276E4D8-5C48-4071-8C92-63D6A4967020}"/>
  <tableColumns count="1">
    <tableColumn id="1" xr3:uid="{47926B1B-1041-4EF5-A4D5-DE9981F91AC3}" name="Host Ip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691C58E2-D4BD-4EFB-8D67-AA5DD0782AE4}" name="Tabel61" displayName="Tabel61" ref="A7:A8" totalsRowShown="0">
  <autoFilter ref="A7:A8" xr:uid="{691C58E2-D4BD-4EFB-8D67-AA5DD0782AE4}"/>
  <tableColumns count="1">
    <tableColumn id="1" xr3:uid="{D28BFB63-73FC-4FA8-98EC-4E1DCCE71971}" name="User Name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2B6FB58-7DD1-4B92-AF7B-2679897A3A4C}" name="Tabel62" displayName="Tabel62" ref="A10:A11" totalsRowShown="0">
  <autoFilter ref="A10:A11" xr:uid="{32B6FB58-7DD1-4B92-AF7B-2679897A3A4C}"/>
  <tableColumns count="1">
    <tableColumn id="1" xr3:uid="{7C242C91-DD3A-4AE8-9847-FAC9F7EBD66E}" name="Password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D7096DAC-9076-4AC8-9E60-EFD1244FFD0C}" name="Tabel64" displayName="Tabel64" ref="A13:A14" totalsRowShown="0">
  <autoFilter ref="A13:A14" xr:uid="{D7096DAC-9076-4AC8-9E60-EFD1244FFD0C}"/>
  <tableColumns count="1">
    <tableColumn id="1" xr3:uid="{5C9D69A2-DC1E-4C5A-9817-969F2342986E}" name="Spectre Working Directory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94744FE-91BB-4631-ABC8-FC923F1A8736}" name="Tabel65" displayName="Tabel65" ref="A16:A17" totalsRowShown="0">
  <autoFilter ref="A16:A17" xr:uid="{394744FE-91BB-4631-ABC8-FC923F1A8736}"/>
  <tableColumns count="1">
    <tableColumn id="1" xr3:uid="{444EB2C7-16BB-408B-8396-D8DC72DCC7E9}" name="Spectre Netlist File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687A28C-EB81-4B9C-A555-058C0BB9E456}" name="Tabel66" displayName="Tabel66" ref="A19:A20" totalsRowShown="0">
  <autoFilter ref="A19:A20" xr:uid="{0687A28C-EB81-4B9C-A555-058C0BB9E456}"/>
  <tableColumns count="1">
    <tableColumn id="1" xr3:uid="{4182A5FB-C24F-456B-B510-E81B8FEA245F}" name="Spectre Results File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8104F56-BDCA-411B-BFAF-47EA44A08EE8}" name="Putty_Path" displayName="Putty_Path" ref="A1:A2" tableType="queryTable" totalsRowShown="0">
  <autoFilter ref="A1:A2" xr:uid="{28104F56-BDCA-411B-BFAF-47EA44A08EE8}"/>
  <tableColumns count="1">
    <tableColumn id="1" xr3:uid="{642CF980-2E69-4BD7-BE16-4C6C0080300D}" uniqueName="1" name="Putty_Path" queryTableFieldId="1" dataDxfId="16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BC621F-B28E-4165-96D0-A9A3A3F5B4A2}" name="_400_Limit" displayName="_400_Limit" ref="E1:E2" tableType="queryTable" totalsRowShown="0">
  <autoFilter ref="E1:E2" xr:uid="{1DBC621F-B28E-4165-96D0-A9A3A3F5B4A2}"/>
  <tableColumns count="1">
    <tableColumn id="1" xr3:uid="{E7E7562C-4E3F-4B5E-A65F-72D496E58A23}" uniqueName="1" name="400_Limit" queryTableFieldId="2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CD975EE-EDA6-4C46-985A-9156F31606ED}" name="_500_Limit" displayName="_500_Limit" ref="E4:E5" tableType="queryTable" totalsRowShown="0">
  <autoFilter ref="E4:E5" xr:uid="{FCD975EE-EDA6-4C46-985A-9156F31606ED}"/>
  <tableColumns count="1">
    <tableColumn id="1" xr3:uid="{38B5CFB3-7191-4EF9-8675-2D195C0F2737}" uniqueName="1" name="500_Limit" queryTableFieldId="2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27B44F2-8FDE-49FA-A038-2F69ACECD69A}" name="_600_Limit" displayName="_600_Limit" ref="E7:E8" tableType="queryTable" totalsRowShown="0">
  <autoFilter ref="E7:E8" xr:uid="{D27B44F2-8FDE-49FA-A038-2F69ACECD69A}"/>
  <tableColumns count="1">
    <tableColumn id="1" xr3:uid="{2C3569F1-74F1-4828-B63C-330D550CCF63}" uniqueName="1" name="600_Limit" queryTableFieldId="2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E2347B0-89F4-4436-B76F-F6F0608BE6E5}" name="_700_Limit" displayName="_700_Limit" ref="E10:E11" tableType="queryTable" totalsRowShown="0">
  <autoFilter ref="E10:E11" xr:uid="{5E2347B0-89F4-4436-B76F-F6F0608BE6E5}"/>
  <tableColumns count="1">
    <tableColumn id="1" xr3:uid="{C9543170-3939-41AE-B9BD-BF1FDF269622}" uniqueName="1" name="700_Limit" queryTableFieldId="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69FEFEB-3EF0-4E86-A381-906D2F5A4758}" name="_800_Limit" displayName="_800_Limit" ref="E13:E14" tableType="queryTable" totalsRowShown="0">
  <autoFilter ref="E13:E14" xr:uid="{969FEFEB-3EF0-4E86-A381-906D2F5A4758}"/>
  <tableColumns count="1">
    <tableColumn id="1" xr3:uid="{A0D9F1D9-DAA8-4050-AF44-022F3106F4BB}" uniqueName="1" name="800_Limit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E99260E-4DB9-417A-B545-E99F7E8FE192}" name="Id_wrt_Vds_DataPath" displayName="Id_wrt_Vds_DataPath" ref="A4:A5" tableType="queryTable" totalsRowShown="0">
  <autoFilter ref="A4:A5" xr:uid="{9E99260E-4DB9-417A-B545-E99F7E8FE192}"/>
  <tableColumns count="1">
    <tableColumn id="2" xr3:uid="{AC0D79C6-BAAB-4371-911E-21F315250802}" uniqueName="2" name="Id_wrt_Vds_DataPath" queryTableFieldId="2" dataDxfId="15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6A1DAA-6BC1-4F5E-A107-2801A5D76C82}" name="Sqrt_Id_wrt_Vgs_DataPath" displayName="Sqrt_Id_wrt_Vgs_DataPath" ref="A7:A8" tableType="queryTable" totalsRowShown="0">
  <autoFilter ref="A7:A8" xr:uid="{886A1DAA-6BC1-4F5E-A107-2801A5D76C82}"/>
  <tableColumns count="1">
    <tableColumn id="2" xr3:uid="{DF86B923-67D6-4D4B-94B3-E7DE9395FC43}" uniqueName="2" name="Sqrt_Id_wrt_Vgs_DataPath" queryTableFieldId="2" dataDxfId="14"/>
  </tableColumns>
  <tableStyleInfo name="TableStyleMedium7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B479445-7578-42B3-9CA2-758B677CC95D}" name="Vds_sat_DataPath" displayName="Vds_sat_DataPath" ref="A10:A11" tableType="queryTable" totalsRowShown="0">
  <autoFilter ref="A10:A11" xr:uid="{1B479445-7578-42B3-9CA2-758B677CC95D}"/>
  <tableColumns count="1">
    <tableColumn id="1" xr3:uid="{AE6D5089-07F6-4A09-8070-8229BB5C59A8}" uniqueName="1" name="Vds_sat_DataPath" queryTableFieldId="1" dataDxfId="13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3E2107-9018-408B-B3CF-1D38B4E1492F}" name="Vt_wrt_Vbs_DataPath" displayName="Vt_wrt_Vbs_DataPath" ref="A13:A14" tableType="queryTable" totalsRowShown="0">
  <autoFilter ref="A13:A14" xr:uid="{473E2107-9018-408B-B3CF-1D38B4E1492F}"/>
  <tableColumns count="1">
    <tableColumn id="1" xr3:uid="{8F3E6BF9-DBA5-4EBE-AF0F-52285E0A2606}" uniqueName="1" name="Vt_wrt_Vbs_DataPath" queryTableFieldId="1" dataDxfId="12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1624A03-BE47-4E04-92BB-686D9398587D}" name="Spectre_Id_wrt_Vds_NMOS_GPDK" displayName="Spectre_Id_wrt_Vds_NMOS_GPDK" ref="A16:A17" tableType="queryTable" totalsRowShown="0">
  <autoFilter ref="A16:A17" xr:uid="{01624A03-BE47-4E04-92BB-686D9398587D}"/>
  <tableColumns count="1">
    <tableColumn id="1" xr3:uid="{D2797089-1D57-492B-8B9A-ADA771E57A36}" uniqueName="1" name="Spectre_Id_wrt_Vds_NMOS_GPDK" queryTableFieldId="1" dataDxfId="11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F75C6F7E-52B5-4426-8A16-41AE4D3E4807}" name="Spectre_Id_wrt_Vds_NMOS_PTM" displayName="Spectre_Id_wrt_Vds_NMOS_PTM" ref="A19:A20" tableType="queryTable" totalsRowShown="0">
  <autoFilter ref="A19:A20" xr:uid="{F75C6F7E-52B5-4426-8A16-41AE4D3E4807}"/>
  <tableColumns count="1">
    <tableColumn id="1" xr3:uid="{D0881DA6-B142-41DD-81BF-2D838B570EB0}" uniqueName="1" name="Spectre_Id_wrt_Vds_NMOS_PTM" queryTableFieldId="1" dataDxfId="10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753DAF4-5EF1-4D9A-80E2-6902227DAF1B}" name="Spectre_Id_wrt_Vds_NMOS_SAED14" displayName="Spectre_Id_wrt_Vds_NMOS_SAED14" ref="A22:A23" tableType="queryTable" totalsRowShown="0">
  <autoFilter ref="A22:A23" xr:uid="{2753DAF4-5EF1-4D9A-80E2-6902227DAF1B}"/>
  <tableColumns count="1">
    <tableColumn id="1" xr3:uid="{7BF2EB11-C74C-41D3-A6A5-0295EAA6C599}" uniqueName="1" name="Spectre_Id_wrt_Vds_NMOS_SAED14" queryTableFieldId="1" dataDxfId="9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15402E9-A8FB-4AB0-B541-2439647E2F95}" name="Spectre_Id_wrt_Vds_PMOS_GPDK" displayName="Spectre_Id_wrt_Vds_PMOS_GPDK" ref="C1:C2" tableType="queryTable" totalsRowShown="0">
  <autoFilter ref="C1:C2" xr:uid="{615402E9-A8FB-4AB0-B541-2439647E2F95}"/>
  <tableColumns count="1">
    <tableColumn id="1" xr3:uid="{FC34B2F0-24DA-4D5D-B5FC-9B834B5D0C4D}" uniqueName="1" name="Spectre_Id_wrt_Vds_PMOS_GPDK" queryTableFieldId="1" dataDxfId="8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4081AB41-9615-4907-9687-D29B035F46B9}" name="Spectre_Id_wrt_Vds_PMOS_PTM" displayName="Spectre_Id_wrt_Vds_PMOS_PTM" ref="C4:C5" tableType="queryTable" totalsRowShown="0">
  <autoFilter ref="C4:C5" xr:uid="{4081AB41-9615-4907-9687-D29B035F46B9}"/>
  <tableColumns count="1">
    <tableColumn id="1" xr3:uid="{08C52654-1478-427F-966B-75002E201203}" uniqueName="1" name="Spectre_Id_wrt_Vds_PMOS_PTM" queryTableFieldId="1" dataDxfId="7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F86847E-3903-4955-8F9A-35E14A95FF2D}" name="Spectre_Id_wrt_Vds_PMOS_SAED14" displayName="Spectre_Id_wrt_Vds_PMOS_SAED14" ref="C7:C8" tableType="queryTable" totalsRowShown="0">
  <autoFilter ref="C7:C8" xr:uid="{FF86847E-3903-4955-8F9A-35E14A95FF2D}"/>
  <tableColumns count="1">
    <tableColumn id="1" xr3:uid="{4F4CF359-8A81-40E5-A49B-4620C7F80352}" uniqueName="1" name="Spectre_Id_wrt_Vds_PMOS_SAED14" queryTableFieldId="1" dataDxfId="6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D4EEF4A7-07C2-4939-9770-A8A86559CFD5}" name="Spectre_Sqrt_Id_wrt_Vgs_NMOS_GPDK" displayName="Spectre_Sqrt_Id_wrt_Vgs_NMOS_GPDK" ref="C10:C11" tableType="queryTable" totalsRowShown="0">
  <autoFilter ref="C10:C11" xr:uid="{D4EEF4A7-07C2-4939-9770-A8A86559CFD5}"/>
  <tableColumns count="1">
    <tableColumn id="1" xr3:uid="{50006533-B995-421C-86E4-156A880DF03F}" uniqueName="1" name="Spectre_Sqrt_Id_wrt_Vgs_NMOS_GPDK" queryTableFieldId="1" dataDxfId="5"/>
  </tableColumns>
  <tableStyleInfo name="TableStyleMedium7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FDB6A911-8AB7-4F28-90DA-9BDF3E189636}" name="Spectre_Sqrt_Id_wrt_Vgs_NMOS_PTM" displayName="Spectre_Sqrt_Id_wrt_Vgs_NMOS_PTM" ref="C13:C14" tableType="queryTable" totalsRowShown="0">
  <autoFilter ref="C13:C14" xr:uid="{FDB6A911-8AB7-4F28-90DA-9BDF3E189636}"/>
  <tableColumns count="1">
    <tableColumn id="1" xr3:uid="{7E6B1826-F436-455D-9F76-BFF59C28AA07}" uniqueName="1" name="Spectre_Sqrt_Id_wrt_Vgs_NMOS_PTM" queryTableFieldId="1" dataDxfId="4"/>
  </tableColumns>
  <tableStyleInfo name="TableStyleMedium7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8235F7E-AE11-476D-8283-464DAEA19FB4}" name="Spectre_Sqrt_Id_wrt_Vgs_NMOS_SAED14" displayName="Spectre_Sqrt_Id_wrt_Vgs_NMOS_SAED14" ref="C16:C17" tableType="queryTable" totalsRowShown="0">
  <autoFilter ref="C16:C17" xr:uid="{58235F7E-AE11-476D-8283-464DAEA19FB4}"/>
  <tableColumns count="1">
    <tableColumn id="1" xr3:uid="{86F046A5-22E8-40CF-B474-68DB0B33F592}" uniqueName="1" name="Spectre_Sqrt_Id_wrt_Vgs_NMOS_SAED14" queryTableFieldId="1" dataDxfId="3"/>
  </tableColumns>
  <tableStyleInfo name="TableStyleMedium7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1FBA136-55A0-4956-AC40-3AB17A972AF4}" name="Spectre_Sqrt_Id_wrt_Vgs_PMOS_GPDK" displayName="Spectre_Sqrt_Id_wrt_Vgs_PMOS_GPDK" ref="C19:C20" tableType="queryTable" totalsRowShown="0">
  <autoFilter ref="C19:C20" xr:uid="{41FBA136-55A0-4956-AC40-3AB17A972AF4}"/>
  <tableColumns count="1">
    <tableColumn id="1" xr3:uid="{6CBFE54C-F2F8-4A7B-B70F-94E44AB6E67F}" uniqueName="1" name="Spectre_Sqrt_Id_wrt_Vgs_PMOS_GPDK" queryTableFieldId="1" dataDxfId="2"/>
  </tableColumns>
  <tableStyleInfo name="TableStyleMedium7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ADCD9F1-0B9D-415C-80BC-404B4FC80AFB}" name="Spectre_Sqrt_Id_wrt_Vgs_PMOS_PTM" displayName="Spectre_Sqrt_Id_wrt_Vgs_PMOS_PTM" ref="C22:C23" tableType="queryTable" totalsRowShown="0">
  <autoFilter ref="C22:C23" xr:uid="{CADCD9F1-0B9D-415C-80BC-404B4FC80AFB}"/>
  <tableColumns count="1">
    <tableColumn id="1" xr3:uid="{0A3ADCCF-DAB6-4EDF-B51D-14AE4BBC27FB}" uniqueName="1" name="Spectre_Sqrt_Id_wrt_Vgs_PMOS_PTM" queryTableFieldId="1" dataDxfId="1"/>
  </tableColumns>
  <tableStyleInfo name="TableStyleMedium7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3A9D48C-5646-40AD-8EEF-FC8386E62B9F}" name="Spectre_Sqrt_Id_wrt_Vgs_PMOS_SAED14" displayName="Spectre_Sqrt_Id_wrt_Vgs_PMOS_SAED14" ref="C25:C26" tableType="queryTable" totalsRowShown="0">
  <autoFilter ref="C25:C26" xr:uid="{C3A9D48C-5646-40AD-8EEF-FC8386E62B9F}"/>
  <tableColumns count="1">
    <tableColumn id="1" xr3:uid="{316C5461-C014-45DB-92BE-10AF06397B27}" uniqueName="1" name="Spectre_Sqrt_Id_wrt_Vgs_PMOS_SAED14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21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table" Target="../tables/table20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table" Target="../tables/table25.xml"/><Relationship Id="rId18" Type="http://schemas.openxmlformats.org/officeDocument/2006/relationships/table" Target="../tables/table30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24.xml"/><Relationship Id="rId17" Type="http://schemas.openxmlformats.org/officeDocument/2006/relationships/table" Target="../tables/table29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table" Target="../tables/table27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13" Type="http://schemas.openxmlformats.org/officeDocument/2006/relationships/table" Target="../tables/table42.xml"/><Relationship Id="rId18" Type="http://schemas.openxmlformats.org/officeDocument/2006/relationships/table" Target="../tables/table47.xml"/><Relationship Id="rId3" Type="http://schemas.openxmlformats.org/officeDocument/2006/relationships/table" Target="../tables/table32.xml"/><Relationship Id="rId21" Type="http://schemas.openxmlformats.org/officeDocument/2006/relationships/table" Target="../tables/table50.xml"/><Relationship Id="rId7" Type="http://schemas.openxmlformats.org/officeDocument/2006/relationships/table" Target="../tables/table36.xml"/><Relationship Id="rId12" Type="http://schemas.openxmlformats.org/officeDocument/2006/relationships/table" Target="../tables/table41.xml"/><Relationship Id="rId17" Type="http://schemas.openxmlformats.org/officeDocument/2006/relationships/table" Target="../tables/table46.xml"/><Relationship Id="rId2" Type="http://schemas.openxmlformats.org/officeDocument/2006/relationships/table" Target="../tables/table31.xml"/><Relationship Id="rId16" Type="http://schemas.openxmlformats.org/officeDocument/2006/relationships/table" Target="../tables/table45.xml"/><Relationship Id="rId20" Type="http://schemas.openxmlformats.org/officeDocument/2006/relationships/table" Target="../tables/table4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5.xml"/><Relationship Id="rId11" Type="http://schemas.openxmlformats.org/officeDocument/2006/relationships/table" Target="../tables/table40.xml"/><Relationship Id="rId24" Type="http://schemas.openxmlformats.org/officeDocument/2006/relationships/table" Target="../tables/table53.xml"/><Relationship Id="rId5" Type="http://schemas.openxmlformats.org/officeDocument/2006/relationships/table" Target="../tables/table34.xml"/><Relationship Id="rId15" Type="http://schemas.openxmlformats.org/officeDocument/2006/relationships/table" Target="../tables/table44.xml"/><Relationship Id="rId23" Type="http://schemas.openxmlformats.org/officeDocument/2006/relationships/table" Target="../tables/table52.xml"/><Relationship Id="rId10" Type="http://schemas.openxmlformats.org/officeDocument/2006/relationships/table" Target="../tables/table39.xml"/><Relationship Id="rId19" Type="http://schemas.openxmlformats.org/officeDocument/2006/relationships/table" Target="../tables/table48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Relationship Id="rId14" Type="http://schemas.openxmlformats.org/officeDocument/2006/relationships/table" Target="../tables/table43.xml"/><Relationship Id="rId22" Type="http://schemas.openxmlformats.org/officeDocument/2006/relationships/table" Target="../tables/table5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1.xml"/><Relationship Id="rId13" Type="http://schemas.openxmlformats.org/officeDocument/2006/relationships/table" Target="../tables/table66.xml"/><Relationship Id="rId18" Type="http://schemas.openxmlformats.org/officeDocument/2006/relationships/table" Target="../tables/table71.xml"/><Relationship Id="rId3" Type="http://schemas.openxmlformats.org/officeDocument/2006/relationships/table" Target="../tables/table56.xml"/><Relationship Id="rId21" Type="http://schemas.openxmlformats.org/officeDocument/2006/relationships/table" Target="../tables/table74.xml"/><Relationship Id="rId7" Type="http://schemas.openxmlformats.org/officeDocument/2006/relationships/table" Target="../tables/table60.xml"/><Relationship Id="rId12" Type="http://schemas.openxmlformats.org/officeDocument/2006/relationships/table" Target="../tables/table65.xml"/><Relationship Id="rId17" Type="http://schemas.openxmlformats.org/officeDocument/2006/relationships/table" Target="../tables/table70.xml"/><Relationship Id="rId2" Type="http://schemas.openxmlformats.org/officeDocument/2006/relationships/table" Target="../tables/table55.xml"/><Relationship Id="rId16" Type="http://schemas.openxmlformats.org/officeDocument/2006/relationships/table" Target="../tables/table69.xml"/><Relationship Id="rId20" Type="http://schemas.openxmlformats.org/officeDocument/2006/relationships/table" Target="../tables/table73.xml"/><Relationship Id="rId1" Type="http://schemas.openxmlformats.org/officeDocument/2006/relationships/table" Target="../tables/table54.xml"/><Relationship Id="rId6" Type="http://schemas.openxmlformats.org/officeDocument/2006/relationships/table" Target="../tables/table59.xml"/><Relationship Id="rId11" Type="http://schemas.openxmlformats.org/officeDocument/2006/relationships/table" Target="../tables/table64.xml"/><Relationship Id="rId5" Type="http://schemas.openxmlformats.org/officeDocument/2006/relationships/table" Target="../tables/table58.xml"/><Relationship Id="rId15" Type="http://schemas.openxmlformats.org/officeDocument/2006/relationships/table" Target="../tables/table68.xml"/><Relationship Id="rId10" Type="http://schemas.openxmlformats.org/officeDocument/2006/relationships/table" Target="../tables/table63.xml"/><Relationship Id="rId19" Type="http://schemas.openxmlformats.org/officeDocument/2006/relationships/table" Target="../tables/table72.xml"/><Relationship Id="rId4" Type="http://schemas.openxmlformats.org/officeDocument/2006/relationships/table" Target="../tables/table57.xml"/><Relationship Id="rId9" Type="http://schemas.openxmlformats.org/officeDocument/2006/relationships/table" Target="../tables/table62.xml"/><Relationship Id="rId14" Type="http://schemas.openxmlformats.org/officeDocument/2006/relationships/table" Target="../tables/table67.xml"/><Relationship Id="rId22" Type="http://schemas.openxmlformats.org/officeDocument/2006/relationships/table" Target="../tables/table7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091F-BE33-4E2A-A72C-2BEC5C9AADCF}">
  <sheetPr codeName="Foaie2"/>
  <dimension ref="A1:J53"/>
  <sheetViews>
    <sheetView workbookViewId="0">
      <selection activeCell="A2" sqref="A2"/>
    </sheetView>
  </sheetViews>
  <sheetFormatPr defaultRowHeight="14.4" x14ac:dyDescent="0.3"/>
  <cols>
    <col min="1" max="1" width="17.88671875" bestFit="1" customWidth="1"/>
    <col min="2" max="2" width="12.6640625" bestFit="1" customWidth="1"/>
    <col min="3" max="3" width="17.88671875" bestFit="1" customWidth="1"/>
    <col min="4" max="4" width="12.6640625" bestFit="1" customWidth="1"/>
    <col min="5" max="5" width="17.88671875" bestFit="1" customWidth="1"/>
    <col min="6" max="6" width="12.6640625" bestFit="1" customWidth="1"/>
    <col min="7" max="7" width="17.88671875" bestFit="1" customWidth="1"/>
    <col min="8" max="8" width="12.6640625" bestFit="1" customWidth="1"/>
    <col min="9" max="9" width="17.88671875" bestFit="1" customWidth="1"/>
    <col min="10" max="10" width="12.6640625" bestFit="1" customWidth="1"/>
    <col min="11" max="11" width="21.77734375" bestFit="1" customWidth="1"/>
    <col min="12" max="12" width="22.21875" bestFit="1" customWidth="1"/>
    <col min="13" max="13" width="21.77734375" bestFit="1" customWidth="1"/>
    <col min="14" max="14" width="22.21875" bestFit="1" customWidth="1"/>
    <col min="15" max="15" width="21.77734375" bestFit="1" customWidth="1"/>
    <col min="16" max="16" width="22.21875" bestFit="1" customWidth="1"/>
    <col min="17" max="17" width="21.77734375" bestFit="1" customWidth="1"/>
    <col min="18" max="18" width="22.21875" bestFit="1" customWidth="1"/>
    <col min="19" max="19" width="21.77734375" bestFit="1" customWidth="1"/>
    <col min="20" max="20" width="22.21875" bestFit="1" customWidth="1"/>
  </cols>
  <sheetData>
    <row r="1" spans="1:10" x14ac:dyDescent="0.3">
      <c r="A1" s="1" t="s">
        <v>25</v>
      </c>
      <c r="B1" s="1" t="s">
        <v>22</v>
      </c>
      <c r="C1" s="1" t="s">
        <v>25</v>
      </c>
      <c r="D1" s="1" t="s">
        <v>22</v>
      </c>
      <c r="E1" s="1" t="s">
        <v>25</v>
      </c>
      <c r="F1" s="1" t="s">
        <v>22</v>
      </c>
      <c r="G1" s="1" t="s">
        <v>25</v>
      </c>
      <c r="H1" s="1" t="s">
        <v>22</v>
      </c>
      <c r="I1" s="1" t="s">
        <v>25</v>
      </c>
      <c r="J1" s="1" t="s">
        <v>22</v>
      </c>
    </row>
    <row r="2" spans="1:10" x14ac:dyDescent="0.3">
      <c r="A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</row>
    <row r="3" spans="1:10" x14ac:dyDescent="0.3">
      <c r="A3">
        <v>0</v>
      </c>
      <c r="B3">
        <v>-2.4614174428885023E-7</v>
      </c>
      <c r="C3">
        <v>0</v>
      </c>
      <c r="D3">
        <v>-6.7851193454316563E-7</v>
      </c>
      <c r="E3">
        <v>0</v>
      </c>
      <c r="F3">
        <v>-1.557667690571491E-6</v>
      </c>
      <c r="G3">
        <v>0</v>
      </c>
      <c r="H3">
        <v>-3.1873081236787278E-6</v>
      </c>
      <c r="I3">
        <v>0</v>
      </c>
      <c r="J3">
        <v>-6.061677443488325E-6</v>
      </c>
    </row>
    <row r="4" spans="1:10" x14ac:dyDescent="0.3">
      <c r="A4">
        <v>16</v>
      </c>
      <c r="B4">
        <v>0.73022224955257564</v>
      </c>
      <c r="C4">
        <v>16</v>
      </c>
      <c r="D4">
        <v>2.3243344559139709</v>
      </c>
      <c r="E4">
        <v>16</v>
      </c>
      <c r="F4">
        <v>4.3394476263391955</v>
      </c>
      <c r="G4">
        <v>16</v>
      </c>
      <c r="H4">
        <v>6.2999605530660876</v>
      </c>
      <c r="I4">
        <v>16</v>
      </c>
      <c r="J4">
        <v>8.0350829816061538</v>
      </c>
    </row>
    <row r="5" spans="1:10" x14ac:dyDescent="0.3">
      <c r="A5">
        <v>32</v>
      </c>
      <c r="B5">
        <v>1.286911936118339</v>
      </c>
      <c r="C5">
        <v>32</v>
      </c>
      <c r="D5">
        <v>4.3466052201895788</v>
      </c>
      <c r="E5">
        <v>32</v>
      </c>
      <c r="F5">
        <v>8.3436448752185086</v>
      </c>
      <c r="G5">
        <v>32</v>
      </c>
      <c r="H5">
        <v>12.282347535730649</v>
      </c>
      <c r="I5">
        <v>32</v>
      </c>
      <c r="J5">
        <v>15.78182193785246</v>
      </c>
    </row>
    <row r="6" spans="1:10" x14ac:dyDescent="0.3">
      <c r="A6">
        <v>48</v>
      </c>
      <c r="B6">
        <v>1.697562600736632</v>
      </c>
      <c r="C6">
        <v>48</v>
      </c>
      <c r="D6">
        <v>6.0767905429472018</v>
      </c>
      <c r="E6">
        <v>48</v>
      </c>
      <c r="F6">
        <v>12.002678704710458</v>
      </c>
      <c r="G6">
        <v>48</v>
      </c>
      <c r="H6">
        <v>17.923372827038801</v>
      </c>
      <c r="I6">
        <v>48</v>
      </c>
      <c r="J6">
        <v>23.206708237817502</v>
      </c>
    </row>
    <row r="7" spans="1:10" x14ac:dyDescent="0.3">
      <c r="A7">
        <v>64</v>
      </c>
      <c r="B7">
        <v>1.9903335213994411</v>
      </c>
      <c r="C7">
        <v>64</v>
      </c>
      <c r="D7">
        <v>7.5276812970310782</v>
      </c>
      <c r="E7">
        <v>64</v>
      </c>
      <c r="F7">
        <v>15.307645687876452</v>
      </c>
      <c r="G7">
        <v>64</v>
      </c>
      <c r="H7">
        <v>23.198987545935857</v>
      </c>
      <c r="I7">
        <v>64</v>
      </c>
      <c r="J7">
        <v>30.27579770285773</v>
      </c>
    </row>
    <row r="8" spans="1:10" x14ac:dyDescent="0.3">
      <c r="A8">
        <v>80</v>
      </c>
      <c r="B8">
        <v>2.1932014902734109</v>
      </c>
      <c r="C8">
        <v>80</v>
      </c>
      <c r="D8">
        <v>8.7172327502889217</v>
      </c>
      <c r="E8">
        <v>80</v>
      </c>
      <c r="F8">
        <v>18.25327686811293</v>
      </c>
      <c r="G8">
        <v>80</v>
      </c>
      <c r="H8">
        <v>28.086932453837509</v>
      </c>
      <c r="I8">
        <v>80</v>
      </c>
      <c r="J8">
        <v>36.956217057877289</v>
      </c>
    </row>
    <row r="9" spans="1:10" x14ac:dyDescent="0.3">
      <c r="A9">
        <v>96</v>
      </c>
      <c r="B9">
        <v>2.3321244167573267</v>
      </c>
      <c r="C9">
        <v>96</v>
      </c>
      <c r="D9">
        <v>9.6705149650521314</v>
      </c>
      <c r="E9">
        <v>96</v>
      </c>
      <c r="F9">
        <v>20.841268207209289</v>
      </c>
      <c r="G9">
        <v>96</v>
      </c>
      <c r="H9">
        <v>32.569817768376105</v>
      </c>
      <c r="I9">
        <v>96</v>
      </c>
      <c r="J9">
        <v>43.218640309089203</v>
      </c>
    </row>
    <row r="10" spans="1:10" x14ac:dyDescent="0.3">
      <c r="A10">
        <v>112</v>
      </c>
      <c r="B10">
        <v>2.4289691340217829</v>
      </c>
      <c r="C10">
        <v>112</v>
      </c>
      <c r="D10">
        <v>10.419966841870639</v>
      </c>
      <c r="E10">
        <v>112</v>
      </c>
      <c r="F10">
        <v>23.083125673224949</v>
      </c>
      <c r="G10">
        <v>112</v>
      </c>
      <c r="H10">
        <v>36.638408077476633</v>
      </c>
      <c r="I10">
        <v>112</v>
      </c>
      <c r="J10">
        <v>49.040180211704012</v>
      </c>
    </row>
    <row r="11" spans="1:10" x14ac:dyDescent="0.3">
      <c r="A11">
        <v>128</v>
      </c>
      <c r="B11">
        <v>2.5002708627079038</v>
      </c>
      <c r="C11">
        <v>128</v>
      </c>
      <c r="D11">
        <v>11.00325313680659</v>
      </c>
      <c r="E11">
        <v>128</v>
      </c>
      <c r="F11">
        <v>25.00137172613389</v>
      </c>
      <c r="G11">
        <v>128</v>
      </c>
      <c r="H11">
        <v>40.294203550522049</v>
      </c>
      <c r="I11">
        <v>128</v>
      </c>
      <c r="J11">
        <v>54.407079706556338</v>
      </c>
    </row>
    <row r="12" spans="1:10" x14ac:dyDescent="0.3">
      <c r="A12">
        <v>144</v>
      </c>
      <c r="B12">
        <v>2.5572530271952632</v>
      </c>
      <c r="C12">
        <v>144</v>
      </c>
      <c r="D12">
        <v>11.45913641497788</v>
      </c>
      <c r="E12">
        <v>144</v>
      </c>
      <c r="F12">
        <v>26.628397386758621</v>
      </c>
      <c r="G12">
        <v>144</v>
      </c>
      <c r="H12">
        <v>43.55048664793965</v>
      </c>
      <c r="I12">
        <v>144</v>
      </c>
      <c r="J12">
        <v>59.316564896271849</v>
      </c>
    </row>
    <row r="13" spans="1:10" x14ac:dyDescent="0.3">
      <c r="A13">
        <v>160</v>
      </c>
      <c r="B13">
        <v>2.6067632668453822</v>
      </c>
      <c r="C13">
        <v>160</v>
      </c>
      <c r="D13">
        <v>11.82288460083331</v>
      </c>
      <c r="E13">
        <v>160</v>
      </c>
      <c r="F13">
        <v>28.003115200821441</v>
      </c>
      <c r="G13">
        <v>160</v>
      </c>
      <c r="H13">
        <v>46.4313915532842</v>
      </c>
      <c r="I13">
        <v>160</v>
      </c>
      <c r="J13">
        <v>63.777346411724494</v>
      </c>
    </row>
    <row r="14" spans="1:10" x14ac:dyDescent="0.3">
      <c r="A14">
        <v>176</v>
      </c>
      <c r="B14">
        <v>2.65253936677547</v>
      </c>
      <c r="C14">
        <v>176</v>
      </c>
      <c r="D14">
        <v>12.12299441335967</v>
      </c>
      <c r="E14">
        <v>176</v>
      </c>
      <c r="F14">
        <v>29.16648520556754</v>
      </c>
      <c r="G14">
        <v>176</v>
      </c>
      <c r="H14">
        <v>48.969200994013249</v>
      </c>
      <c r="I14">
        <v>176</v>
      </c>
      <c r="J14">
        <v>67.808576467243867</v>
      </c>
    </row>
    <row r="15" spans="1:10" x14ac:dyDescent="0.3">
      <c r="A15">
        <v>192.00000000000009</v>
      </c>
      <c r="B15">
        <v>2.6963785116194496</v>
      </c>
      <c r="C15">
        <v>192.00000000000009</v>
      </c>
      <c r="D15">
        <v>12.38015223426755</v>
      </c>
      <c r="E15">
        <v>192.00000000000009</v>
      </c>
      <c r="F15">
        <v>30.15736756770573</v>
      </c>
      <c r="G15">
        <v>192.00000000000009</v>
      </c>
      <c r="H15">
        <v>51.20069051427383</v>
      </c>
      <c r="I15">
        <v>192.00000000000009</v>
      </c>
      <c r="J15">
        <v>71.437511415499998</v>
      </c>
    </row>
    <row r="16" spans="1:10" x14ac:dyDescent="0.3">
      <c r="A16">
        <v>208.00000000000011</v>
      </c>
      <c r="B16">
        <v>2.7390150571709158</v>
      </c>
      <c r="C16">
        <v>208.00000000000011</v>
      </c>
      <c r="D16">
        <v>12.60810756909747</v>
      </c>
      <c r="E16">
        <v>208.00000000000011</v>
      </c>
      <c r="F16">
        <v>31.009765804013288</v>
      </c>
      <c r="G16">
        <v>208.00000000000011</v>
      </c>
      <c r="H16">
        <v>53.163570099314974</v>
      </c>
      <c r="I16">
        <v>208.00000000000011</v>
      </c>
      <c r="J16">
        <v>74.696504997498465</v>
      </c>
    </row>
    <row r="17" spans="1:10" x14ac:dyDescent="0.3">
      <c r="A17">
        <v>224.00000000000009</v>
      </c>
      <c r="B17">
        <v>2.780681586559508</v>
      </c>
      <c r="C17">
        <v>224.00000000000009</v>
      </c>
      <c r="D17">
        <v>12.815453080842181</v>
      </c>
      <c r="E17">
        <v>224.00000000000009</v>
      </c>
      <c r="F17">
        <v>31.751720748126207</v>
      </c>
      <c r="G17">
        <v>224.00000000000009</v>
      </c>
      <c r="H17">
        <v>54.893806266607299</v>
      </c>
      <c r="I17">
        <v>224.00000000000009</v>
      </c>
      <c r="J17">
        <v>77.620073765029801</v>
      </c>
    </row>
    <row r="18" spans="1:10" x14ac:dyDescent="0.3">
      <c r="A18">
        <v>240.00000000000011</v>
      </c>
      <c r="B18">
        <v>2.8214180731070031</v>
      </c>
      <c r="C18">
        <v>240.00000000000011</v>
      </c>
      <c r="D18">
        <v>13.00741302920609</v>
      </c>
      <c r="E18">
        <v>240.00000000000011</v>
      </c>
      <c r="F18">
        <v>32.405470638005241</v>
      </c>
      <c r="G18">
        <v>240.00000000000011</v>
      </c>
      <c r="H18">
        <v>56.424079594945738</v>
      </c>
      <c r="I18">
        <v>240.00000000000011</v>
      </c>
      <c r="J18">
        <v>80.242588014241136</v>
      </c>
    </row>
    <row r="19" spans="1:10" x14ac:dyDescent="0.3">
      <c r="A19">
        <v>256.00000000000011</v>
      </c>
      <c r="B19">
        <v>2.8612176713289301</v>
      </c>
      <c r="C19">
        <v>256.00000000000011</v>
      </c>
      <c r="D19">
        <v>13.187204141607481</v>
      </c>
      <c r="E19">
        <v>256.00000000000011</v>
      </c>
      <c r="F19">
        <v>32.988280566609916</v>
      </c>
      <c r="G19">
        <v>256.00000000000011</v>
      </c>
      <c r="H19">
        <v>57.783194986259595</v>
      </c>
      <c r="I19">
        <v>256.00000000000011</v>
      </c>
      <c r="J19">
        <v>82.596790371387755</v>
      </c>
    </row>
    <row r="20" spans="1:10" x14ac:dyDescent="0.3">
      <c r="A20">
        <v>272.00000000000006</v>
      </c>
      <c r="B20">
        <v>2.9000827295700913</v>
      </c>
      <c r="C20">
        <v>272.00000000000006</v>
      </c>
      <c r="D20">
        <v>13.356912929831539</v>
      </c>
      <c r="E20">
        <v>272.00000000000006</v>
      </c>
      <c r="F20">
        <v>33.513459026982765</v>
      </c>
      <c r="G20">
        <v>272.00000000000006</v>
      </c>
      <c r="H20">
        <v>58.996091456795845</v>
      </c>
      <c r="I20">
        <v>272.00000000000006</v>
      </c>
      <c r="J20">
        <v>84.713038953839202</v>
      </c>
    </row>
    <row r="21" spans="1:10" x14ac:dyDescent="0.3">
      <c r="A21">
        <v>288.00000000000011</v>
      </c>
      <c r="B21">
        <v>2.938038602858033</v>
      </c>
      <c r="C21">
        <v>288.00000000000011</v>
      </c>
      <c r="D21">
        <v>13.518002314640329</v>
      </c>
      <c r="E21">
        <v>288.00000000000011</v>
      </c>
      <c r="F21">
        <v>33.99129307329374</v>
      </c>
      <c r="G21">
        <v>288.00000000000011</v>
      </c>
      <c r="H21">
        <v>60.084141793125944</v>
      </c>
      <c r="I21">
        <v>288.00000000000011</v>
      </c>
      <c r="J21">
        <v>86.619033695917366</v>
      </c>
    </row>
    <row r="22" spans="1:10" x14ac:dyDescent="0.3">
      <c r="A22">
        <v>304.00000000000023</v>
      </c>
      <c r="B22">
        <v>2.975131043787393</v>
      </c>
      <c r="C22">
        <v>304.00000000000023</v>
      </c>
      <c r="D22">
        <v>13.67158338021707</v>
      </c>
      <c r="E22">
        <v>304.00000000000023</v>
      </c>
      <c r="F22">
        <v>34.42980397986473</v>
      </c>
      <c r="G22">
        <v>304.00000000000023</v>
      </c>
      <c r="H22">
        <v>61.065551255027778</v>
      </c>
      <c r="I22">
        <v>304.00000000000023</v>
      </c>
      <c r="J22">
        <v>88.339798305327051</v>
      </c>
    </row>
    <row r="23" spans="1:10" x14ac:dyDescent="0.3">
      <c r="A23">
        <v>320.00000000000017</v>
      </c>
      <c r="B23">
        <v>3.011419181353558</v>
      </c>
      <c r="C23">
        <v>320.00000000000017</v>
      </c>
      <c r="D23">
        <v>13.81855482681865</v>
      </c>
      <c r="E23">
        <v>320.00000000000017</v>
      </c>
      <c r="F23">
        <v>34.835318779970649</v>
      </c>
      <c r="G23">
        <v>320.00000000000017</v>
      </c>
      <c r="H23">
        <v>61.955764582379082</v>
      </c>
      <c r="I23">
        <v>320.00000000000017</v>
      </c>
      <c r="J23">
        <v>89.897772135864386</v>
      </c>
    </row>
    <row r="24" spans="1:10" x14ac:dyDescent="0.3">
      <c r="A24">
        <v>336.00000000000017</v>
      </c>
      <c r="B24">
        <v>3.0469688104747208</v>
      </c>
      <c r="C24">
        <v>336.00000000000017</v>
      </c>
      <c r="D24">
        <v>13.95967361276991</v>
      </c>
      <c r="E24">
        <v>336.00000000000017</v>
      </c>
      <c r="F24">
        <v>35.212889291196902</v>
      </c>
      <c r="G24">
        <v>336.00000000000017</v>
      </c>
      <c r="H24">
        <v>62.767847034686966</v>
      </c>
      <c r="I24">
        <v>336.00000000000017</v>
      </c>
      <c r="J24">
        <v>91.312944124691427</v>
      </c>
    </row>
    <row r="25" spans="1:10" x14ac:dyDescent="0.3">
      <c r="A25">
        <v>352.00000000000023</v>
      </c>
      <c r="B25">
        <v>3.0818473636528201</v>
      </c>
      <c r="C25">
        <v>352.00000000000023</v>
      </c>
      <c r="D25">
        <v>14.09559177044653</v>
      </c>
      <c r="E25">
        <v>352.00000000000023</v>
      </c>
      <c r="F25">
        <v>35.566596375054424</v>
      </c>
      <c r="G25">
        <v>352.00000000000023</v>
      </c>
      <c r="H25">
        <v>63.512829279160812</v>
      </c>
      <c r="I25">
        <v>352.00000000000023</v>
      </c>
      <c r="J25">
        <v>92.603006726484423</v>
      </c>
    </row>
    <row r="26" spans="1:10" x14ac:dyDescent="0.3">
      <c r="A26">
        <v>368.00000000000023</v>
      </c>
      <c r="B26">
        <v>3.1161206099731</v>
      </c>
      <c r="C26">
        <v>368.00000000000023</v>
      </c>
      <c r="D26">
        <v>14.226877213841911</v>
      </c>
      <c r="E26">
        <v>368.00000000000023</v>
      </c>
      <c r="F26">
        <v>35.899771652050802</v>
      </c>
      <c r="G26">
        <v>368.00000000000023</v>
      </c>
      <c r="H26">
        <v>64.200014110702071</v>
      </c>
      <c r="I26">
        <v>368.00000000000023</v>
      </c>
      <c r="J26">
        <v>93.783525053320631</v>
      </c>
    </row>
    <row r="27" spans="1:10" x14ac:dyDescent="0.3">
      <c r="A27">
        <v>384.00000000000017</v>
      </c>
      <c r="B27">
        <v>3.1498507180403887</v>
      </c>
      <c r="C27">
        <v>384.00000000000017</v>
      </c>
      <c r="D27">
        <v>14.354027086486251</v>
      </c>
      <c r="E27">
        <v>384.00000000000017</v>
      </c>
      <c r="F27">
        <v>36.21516085241597</v>
      </c>
      <c r="G27">
        <v>384.00000000000017</v>
      </c>
      <c r="H27">
        <v>64.837245503612891</v>
      </c>
      <c r="I27">
        <v>384.00000000000017</v>
      </c>
      <c r="J27">
        <v>94.868118618547044</v>
      </c>
    </row>
    <row r="28" spans="1:10" x14ac:dyDescent="0.3">
      <c r="A28">
        <v>400.00000000000017</v>
      </c>
      <c r="B28">
        <v>3.1830952752492001</v>
      </c>
      <c r="C28">
        <v>400.00000000000017</v>
      </c>
      <c r="D28">
        <v>14.477477549826929</v>
      </c>
      <c r="E28">
        <v>400.00000000000017</v>
      </c>
      <c r="F28">
        <v>36.515045906113237</v>
      </c>
      <c r="G28">
        <v>400.00000000000017</v>
      </c>
      <c r="H28">
        <v>65.43114160696463</v>
      </c>
      <c r="I28">
        <v>400.00000000000017</v>
      </c>
      <c r="J28">
        <v>95.868650790851305</v>
      </c>
    </row>
    <row r="29" spans="1:10" x14ac:dyDescent="0.3">
      <c r="A29">
        <v>416.00000000000034</v>
      </c>
      <c r="B29">
        <v>3.2159069290202993</v>
      </c>
      <c r="C29">
        <v>416.00000000000034</v>
      </c>
      <c r="D29">
        <v>14.597611711846721</v>
      </c>
      <c r="E29">
        <v>416.00000000000034</v>
      </c>
      <c r="F29">
        <v>36.80133757708689</v>
      </c>
      <c r="G29">
        <v>416.00000000000034</v>
      </c>
      <c r="H29">
        <v>65.987294136248508</v>
      </c>
      <c r="I29">
        <v>416.00000000000034</v>
      </c>
      <c r="J29">
        <v>96.795419330405522</v>
      </c>
    </row>
    <row r="30" spans="1:10" x14ac:dyDescent="0.3">
      <c r="A30">
        <v>432.00000000000028</v>
      </c>
      <c r="B30">
        <v>3.2483334070822321</v>
      </c>
      <c r="C30">
        <v>432.00000000000028</v>
      </c>
      <c r="D30">
        <v>14.71476640879529</v>
      </c>
      <c r="E30">
        <v>432.00000000000028</v>
      </c>
      <c r="F30">
        <v>37.075646754358765</v>
      </c>
      <c r="G30">
        <v>432.00000000000028</v>
      </c>
      <c r="H30">
        <v>66.510437264525507</v>
      </c>
      <c r="I30">
        <v>432.00000000000028</v>
      </c>
      <c r="J30">
        <v>97.657341388045353</v>
      </c>
    </row>
    <row r="31" spans="1:10" x14ac:dyDescent="0.3">
      <c r="A31">
        <v>448.00000000000028</v>
      </c>
      <c r="B31">
        <v>3.2804177532767809</v>
      </c>
      <c r="C31">
        <v>448.00000000000028</v>
      </c>
      <c r="D31">
        <v>14.82923813600714</v>
      </c>
      <c r="E31">
        <v>448.00000000000028</v>
      </c>
      <c r="F31">
        <v>37.339340019156893</v>
      </c>
      <c r="G31">
        <v>448.00000000000028</v>
      </c>
      <c r="H31">
        <v>67.004589494173501</v>
      </c>
      <c r="I31">
        <v>448.00000000000028</v>
      </c>
      <c r="J31">
        <v>98.462127635778529</v>
      </c>
    </row>
    <row r="32" spans="1:10" x14ac:dyDescent="0.3">
      <c r="A32">
        <v>464.00000000000028</v>
      </c>
      <c r="B32">
        <v>3.312198673548024</v>
      </c>
      <c r="C32">
        <v>464.00000000000028</v>
      </c>
      <c r="D32">
        <v>14.941288260977529</v>
      </c>
      <c r="E32">
        <v>464.00000000000028</v>
      </c>
      <c r="F32">
        <v>37.593583437835939</v>
      </c>
      <c r="G32">
        <v>464.00000000000028</v>
      </c>
      <c r="H32">
        <v>67.473172082819332</v>
      </c>
      <c r="I32">
        <v>464.00000000000028</v>
      </c>
      <c r="J32">
        <v>99.216441986690484</v>
      </c>
    </row>
    <row r="33" spans="1:10" x14ac:dyDescent="0.3">
      <c r="A33">
        <v>480.00000000000034</v>
      </c>
      <c r="B33">
        <v>3.3437109260423998</v>
      </c>
      <c r="C33">
        <v>480.00000000000034</v>
      </c>
      <c r="D33">
        <v>15.05114759542078</v>
      </c>
      <c r="E33">
        <v>480.00000000000034</v>
      </c>
      <c r="F33">
        <v>37.839377406563408</v>
      </c>
      <c r="G33">
        <v>480.00000000000034</v>
      </c>
      <c r="H33">
        <v>67.919107460239431</v>
      </c>
      <c r="I33">
        <v>480.00000000000034</v>
      </c>
      <c r="J33">
        <v>99.926045088687943</v>
      </c>
    </row>
    <row r="34" spans="1:10" x14ac:dyDescent="0.3">
      <c r="A34">
        <v>496.00000000000028</v>
      </c>
      <c r="B34">
        <v>3.3749857165478421</v>
      </c>
      <c r="C34">
        <v>496.00000000000028</v>
      </c>
      <c r="D34">
        <v>15.159020387104411</v>
      </c>
      <c r="E34">
        <v>496.00000000000028</v>
      </c>
      <c r="F34">
        <v>38.077584606740558</v>
      </c>
      <c r="G34">
        <v>496.00000000000028</v>
      </c>
      <c r="H34">
        <v>68.344900787284502</v>
      </c>
      <c r="I34">
        <v>496.00000000000028</v>
      </c>
      <c r="J34">
        <v>100.5959211611505</v>
      </c>
    </row>
    <row r="35" spans="1:10" x14ac:dyDescent="0.3">
      <c r="A35">
        <v>512.00000000000034</v>
      </c>
      <c r="B35">
        <v>3.4060510774315622</v>
      </c>
      <c r="C35">
        <v>512.00000000000034</v>
      </c>
      <c r="D35">
        <v>15.265087789323049</v>
      </c>
      <c r="E35">
        <v>512.00000000000034</v>
      </c>
      <c r="F35">
        <v>38.308952597028181</v>
      </c>
      <c r="G35">
        <v>512.00000000000034</v>
      </c>
      <c r="H35">
        <v>68.75270744680104</v>
      </c>
      <c r="I35">
        <v>512.00000000000034</v>
      </c>
      <c r="J35">
        <v>101.2303887159881</v>
      </c>
    </row>
    <row r="36" spans="1:10" x14ac:dyDescent="0.3">
      <c r="A36">
        <v>528.00000000000034</v>
      </c>
      <c r="B36">
        <v>3.4369322188830611</v>
      </c>
      <c r="C36">
        <v>528.00000000000034</v>
      </c>
      <c r="D36">
        <v>15.369510864777482</v>
      </c>
      <c r="E36">
        <v>528.00000000000034</v>
      </c>
      <c r="F36">
        <v>38.534132190000484</v>
      </c>
      <c r="G36">
        <v>528.00000000000034</v>
      </c>
      <c r="H36">
        <v>69.144388874690307</v>
      </c>
      <c r="I36">
        <v>528.00000000000034</v>
      </c>
      <c r="J36">
        <v>101.83319630550331</v>
      </c>
    </row>
    <row r="37" spans="1:10" x14ac:dyDescent="0.3">
      <c r="A37">
        <v>544.00000000000034</v>
      </c>
      <c r="B37">
        <v>3.4676518477493081</v>
      </c>
      <c r="C37">
        <v>544.00000000000034</v>
      </c>
      <c r="D37">
        <v>15.472433179034411</v>
      </c>
      <c r="E37">
        <v>544.00000000000034</v>
      </c>
      <c r="F37">
        <v>38.753692488484745</v>
      </c>
      <c r="G37">
        <v>544.00000000000034</v>
      </c>
      <c r="H37">
        <v>69.52155877156433</v>
      </c>
      <c r="I37">
        <v>544.00000000000034</v>
      </c>
      <c r="J37">
        <v>102.40760475115221</v>
      </c>
    </row>
    <row r="38" spans="1:10" x14ac:dyDescent="0.3">
      <c r="A38">
        <v>560.00000000000034</v>
      </c>
      <c r="B38">
        <v>3.4982304530583148</v>
      </c>
      <c r="C38">
        <v>560.00000000000034</v>
      </c>
      <c r="D38">
        <v>15.573983036625281</v>
      </c>
      <c r="E38">
        <v>560.00000000000034</v>
      </c>
      <c r="F38">
        <v>38.968133256009885</v>
      </c>
      <c r="G38">
        <v>560.00000000000034</v>
      </c>
      <c r="H38">
        <v>69.885621401010866</v>
      </c>
      <c r="I38">
        <v>560.00000000000034</v>
      </c>
      <c r="J38">
        <v>102.956457415587</v>
      </c>
    </row>
    <row r="39" spans="1:10" x14ac:dyDescent="0.3">
      <c r="A39">
        <v>576.00000000000045</v>
      </c>
      <c r="B39">
        <v>3.528686559458345</v>
      </c>
      <c r="C39">
        <v>576.00000000000045</v>
      </c>
      <c r="D39">
        <v>15.674275406926519</v>
      </c>
      <c r="E39">
        <v>576.00000000000045</v>
      </c>
      <c r="F39">
        <v>39.177895146069794</v>
      </c>
      <c r="G39">
        <v>576.00000000000045</v>
      </c>
      <c r="H39">
        <v>70.237803387423767</v>
      </c>
      <c r="I39">
        <v>576.00000000000045</v>
      </c>
      <c r="J39">
        <v>103.482240057448</v>
      </c>
    </row>
    <row r="40" spans="1:10" x14ac:dyDescent="0.3">
      <c r="A40">
        <v>592.00000000000045</v>
      </c>
      <c r="B40">
        <v>3.5590369508966848</v>
      </c>
      <c r="C40">
        <v>592.00000000000045</v>
      </c>
      <c r="D40">
        <v>15.773413582851749</v>
      </c>
      <c r="E40">
        <v>592.00000000000045</v>
      </c>
      <c r="F40">
        <v>39.38336820172389</v>
      </c>
      <c r="G40">
        <v>592.00000000000045</v>
      </c>
      <c r="H40">
        <v>70.579180176033603</v>
      </c>
      <c r="I40">
        <v>592.00000000000045</v>
      </c>
      <c r="J40">
        <v>103.9871317088196</v>
      </c>
    </row>
    <row r="41" spans="1:10" x14ac:dyDescent="0.3">
      <c r="A41">
        <v>608.00000000000045</v>
      </c>
      <c r="B41">
        <v>3.5892968673341867</v>
      </c>
      <c r="C41">
        <v>608.00000000000045</v>
      </c>
      <c r="D41">
        <v>15.87149061025608</v>
      </c>
      <c r="E41">
        <v>608.00000000000045</v>
      </c>
      <c r="F41">
        <v>39.584898950635719</v>
      </c>
      <c r="G41">
        <v>608.00000000000045</v>
      </c>
      <c r="H41">
        <v>70.910698107687978</v>
      </c>
      <c r="I41">
        <v>608.00000000000045</v>
      </c>
      <c r="J41">
        <v>104.4730478769836</v>
      </c>
    </row>
    <row r="42" spans="1:10" x14ac:dyDescent="0.3">
      <c r="A42">
        <v>624.00000000000045</v>
      </c>
      <c r="B42">
        <v>3.6194801773994447</v>
      </c>
      <c r="C42">
        <v>624.00000000000045</v>
      </c>
      <c r="D42">
        <v>15.968590521043811</v>
      </c>
      <c r="E42">
        <v>624.00000000000045</v>
      </c>
      <c r="F42">
        <v>39.78279635381957</v>
      </c>
      <c r="G42">
        <v>624.00000000000045</v>
      </c>
      <c r="H42">
        <v>71.23319288678934</v>
      </c>
      <c r="I42">
        <v>624.00000000000045</v>
      </c>
      <c r="J42">
        <v>104.9416772198794</v>
      </c>
    </row>
    <row r="43" spans="1:10" x14ac:dyDescent="0.3">
      <c r="A43">
        <v>640.00000000000045</v>
      </c>
      <c r="B43">
        <v>3.6495995297892376</v>
      </c>
      <c r="C43">
        <v>640.00000000000045</v>
      </c>
      <c r="D43">
        <v>16.06478939845746</v>
      </c>
      <c r="E43">
        <v>640.00000000000045</v>
      </c>
      <c r="F43">
        <v>39.97733681393705</v>
      </c>
      <c r="G43">
        <v>640.00000000000045</v>
      </c>
      <c r="H43">
        <v>71.547405077681958</v>
      </c>
      <c r="I43">
        <v>640.00000000000045</v>
      </c>
      <c r="J43">
        <v>105.39451269370549</v>
      </c>
    </row>
    <row r="44" spans="1:10" x14ac:dyDescent="0.3">
      <c r="A44">
        <v>656.00000000000045</v>
      </c>
      <c r="B44">
        <v>3.6796664860196078</v>
      </c>
      <c r="C44">
        <v>656.00000000000045</v>
      </c>
      <c r="D44">
        <v>16.160156298974741</v>
      </c>
      <c r="E44">
        <v>656.00000000000045</v>
      </c>
      <c r="F44">
        <v>40.168768410057837</v>
      </c>
      <c r="G44">
        <v>656.00000000000045</v>
      </c>
      <c r="H44">
        <v>71.853993147826927</v>
      </c>
      <c r="I44">
        <v>656.00000000000045</v>
      </c>
      <c r="J44">
        <v>105.8328780297726</v>
      </c>
    </row>
    <row r="45" spans="1:10" x14ac:dyDescent="0.3">
      <c r="A45">
        <v>672.00000000000045</v>
      </c>
      <c r="B45">
        <v>3.7096916368835799</v>
      </c>
      <c r="C45">
        <v>672.00000000000045</v>
      </c>
      <c r="D45">
        <v>16.25475405166447</v>
      </c>
      <c r="E45">
        <v>672.00000000000045</v>
      </c>
      <c r="F45">
        <v>40.357314492139047</v>
      </c>
      <c r="G45">
        <v>672.00000000000045</v>
      </c>
      <c r="H45">
        <v>72.153544480909673</v>
      </c>
      <c r="I45">
        <v>672.00000000000045</v>
      </c>
      <c r="J45">
        <v>106.2579502702928</v>
      </c>
    </row>
    <row r="46" spans="1:10" x14ac:dyDescent="0.3">
      <c r="A46">
        <v>688.00000000000045</v>
      </c>
      <c r="B46">
        <v>3.7396847047115189</v>
      </c>
      <c r="C46">
        <v>688.00000000000045</v>
      </c>
      <c r="D46">
        <v>16.34863995275002</v>
      </c>
      <c r="E46">
        <v>688.00000000000045</v>
      </c>
      <c r="F46">
        <v>40.543176743711932</v>
      </c>
      <c r="G46">
        <v>688.00000000000045</v>
      </c>
      <c r="H46">
        <v>72.446584705690071</v>
      </c>
      <c r="I46">
        <v>688.00000000000045</v>
      </c>
      <c r="J46">
        <v>106.67077898061841</v>
      </c>
    </row>
    <row r="47" spans="1:10" x14ac:dyDescent="0.3">
      <c r="A47">
        <v>704.00000000000057</v>
      </c>
      <c r="B47">
        <v>3.7696546332787513</v>
      </c>
      <c r="C47">
        <v>704.00000000000057</v>
      </c>
      <c r="D47">
        <v>16.441866370460321</v>
      </c>
      <c r="E47">
        <v>704.00000000000057</v>
      </c>
      <c r="F47">
        <v>40.726537801216438</v>
      </c>
      <c r="G47">
        <v>704.00000000000057</v>
      </c>
      <c r="H47">
        <v>72.733585623693344</v>
      </c>
      <c r="I47">
        <v>704.00000000000057</v>
      </c>
      <c r="J47">
        <v>107.0723026583801</v>
      </c>
    </row>
    <row r="48" spans="1:10" x14ac:dyDescent="0.3">
      <c r="A48">
        <v>720.00000000000057</v>
      </c>
      <c r="B48">
        <v>3.7996096669711981</v>
      </c>
      <c r="C48">
        <v>720.00000000000057</v>
      </c>
      <c r="D48">
        <v>16.534481272966747</v>
      </c>
      <c r="E48">
        <v>720.00000000000057</v>
      </c>
      <c r="F48">
        <v>40.907563502241992</v>
      </c>
      <c r="G48">
        <v>720.00000000000057</v>
      </c>
      <c r="H48">
        <v>73.014971968002257</v>
      </c>
      <c r="I48">
        <v>720.00000000000057</v>
      </c>
      <c r="J48">
        <v>107.4633627770083</v>
      </c>
    </row>
    <row r="49" spans="1:10" x14ac:dyDescent="0.3">
      <c r="A49">
        <v>736.00000000000057</v>
      </c>
      <c r="B49">
        <v>3.8295574206093197</v>
      </c>
      <c r="C49">
        <v>736.00000000000057</v>
      </c>
      <c r="D49">
        <v>16.62652869026887</v>
      </c>
      <c r="E49">
        <v>736.00000000000057</v>
      </c>
      <c r="F49">
        <v>41.086404821987081</v>
      </c>
      <c r="G49">
        <v>736.00000000000057</v>
      </c>
      <c r="H49">
        <v>73.291127183264024</v>
      </c>
      <c r="I49">
        <v>736.00000000000057</v>
      </c>
      <c r="J49">
        <v>107.84471583078451</v>
      </c>
    </row>
    <row r="50" spans="1:10" x14ac:dyDescent="0.3">
      <c r="A50">
        <v>752.00000000000057</v>
      </c>
      <c r="B50">
        <v>3.8595049411427742</v>
      </c>
      <c r="C50">
        <v>752.00000000000057</v>
      </c>
      <c r="D50">
        <v>16.718049119252807</v>
      </c>
      <c r="E50">
        <v>752.00000000000057</v>
      </c>
      <c r="F50">
        <v>41.263199546817503</v>
      </c>
      <c r="G50">
        <v>752.00000000000057</v>
      </c>
      <c r="H50">
        <v>73.56239838502114</v>
      </c>
      <c r="I50">
        <v>752.00000000000057</v>
      </c>
      <c r="J50">
        <v>108.2170436893007</v>
      </c>
    </row>
    <row r="51" spans="1:10" x14ac:dyDescent="0.3">
      <c r="A51">
        <v>768.00000000000057</v>
      </c>
      <c r="B51">
        <v>3.8894587622649102</v>
      </c>
      <c r="C51">
        <v>768.00000000000057</v>
      </c>
      <c r="D51">
        <v>16.80907987975727</v>
      </c>
      <c r="E51">
        <v>768.00000000000057</v>
      </c>
      <c r="F51">
        <v>41.438073725355927</v>
      </c>
      <c r="G51">
        <v>768.00000000000057</v>
      </c>
      <c r="H51">
        <v>73.829100628054277</v>
      </c>
      <c r="I51">
        <v>768.00000000000057</v>
      </c>
      <c r="J51">
        <v>108.5809625195008</v>
      </c>
    </row>
    <row r="52" spans="1:10" x14ac:dyDescent="0.3">
      <c r="A52">
        <v>784.00000000000057</v>
      </c>
      <c r="B52">
        <v>3.9194249528524558</v>
      </c>
      <c r="C52">
        <v>784.00000000000057</v>
      </c>
      <c r="D52">
        <v>16.899655428316272</v>
      </c>
      <c r="E52">
        <v>784.00000000000057</v>
      </c>
      <c r="F52">
        <v>41.611142930668208</v>
      </c>
      <c r="G52">
        <v>784.00000000000057</v>
      </c>
      <c r="H52">
        <v>74.091520591022856</v>
      </c>
      <c r="I52">
        <v>784.00000000000057</v>
      </c>
      <c r="J52">
        <v>108.9370304918496</v>
      </c>
    </row>
    <row r="53" spans="1:10" x14ac:dyDescent="0.3">
      <c r="A53">
        <v>800</v>
      </c>
      <c r="B53">
        <v>3.9494091600128725</v>
      </c>
      <c r="C53">
        <v>800</v>
      </c>
      <c r="D53">
        <v>16.98980763525719</v>
      </c>
      <c r="E53">
        <v>800</v>
      </c>
      <c r="F53">
        <v>41.782513361511995</v>
      </c>
      <c r="G53">
        <v>800</v>
      </c>
      <c r="H53">
        <v>74.349919766880888</v>
      </c>
      <c r="I53">
        <v>800</v>
      </c>
      <c r="J53">
        <v>109.2857544524702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ABDEF-ECEC-4FF0-AE74-EB76DDAA0CED}">
  <sheetPr codeName="Foaie3"/>
  <dimension ref="A1:J53"/>
  <sheetViews>
    <sheetView workbookViewId="0">
      <selection activeCell="A2" sqref="A2"/>
    </sheetView>
  </sheetViews>
  <sheetFormatPr defaultRowHeight="14.4" x14ac:dyDescent="0.3"/>
  <cols>
    <col min="1" max="1" width="17.88671875" bestFit="1" customWidth="1"/>
    <col min="2" max="2" width="19.21875" bestFit="1" customWidth="1"/>
    <col min="3" max="3" width="17.88671875" bestFit="1" customWidth="1"/>
    <col min="4" max="4" width="21.33203125" bestFit="1" customWidth="1"/>
    <col min="5" max="5" width="17.88671875" bestFit="1" customWidth="1"/>
    <col min="6" max="6" width="21.33203125" bestFit="1" customWidth="1"/>
    <col min="7" max="7" width="17.88671875" bestFit="1" customWidth="1"/>
    <col min="8" max="8" width="21.33203125" bestFit="1" customWidth="1"/>
    <col min="9" max="9" width="17.88671875" bestFit="1" customWidth="1"/>
    <col min="10" max="10" width="21.33203125" bestFit="1" customWidth="1"/>
  </cols>
  <sheetData>
    <row r="1" spans="1:10" x14ac:dyDescent="0.3">
      <c r="A1" s="1" t="s">
        <v>25</v>
      </c>
      <c r="B1" s="1" t="s">
        <v>23</v>
      </c>
      <c r="C1" s="1" t="s">
        <v>25</v>
      </c>
      <c r="D1" s="1" t="s">
        <v>23</v>
      </c>
      <c r="E1" s="1" t="s">
        <v>25</v>
      </c>
      <c r="F1" s="1" t="s">
        <v>23</v>
      </c>
      <c r="G1" s="1" t="s">
        <v>25</v>
      </c>
      <c r="H1" s="1" t="s">
        <v>23</v>
      </c>
      <c r="I1" s="1" t="s">
        <v>25</v>
      </c>
      <c r="J1" s="1" t="s">
        <v>23</v>
      </c>
    </row>
    <row r="2" spans="1:10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</row>
    <row r="3" spans="1:10" x14ac:dyDescent="0.3">
      <c r="A3">
        <v>0</v>
      </c>
      <c r="B3">
        <v>3.9650855836769333E-3</v>
      </c>
      <c r="C3">
        <v>0</v>
      </c>
      <c r="D3">
        <v>4.1538880725955378E-3</v>
      </c>
      <c r="E3">
        <v>0</v>
      </c>
      <c r="F3">
        <v>4.3344744264351507E-3</v>
      </c>
      <c r="G3">
        <v>0</v>
      </c>
      <c r="H3">
        <v>4.5734287532182326E-3</v>
      </c>
      <c r="I3">
        <v>0</v>
      </c>
      <c r="J3">
        <v>5.9782539689301932E-3</v>
      </c>
    </row>
    <row r="4" spans="1:10" x14ac:dyDescent="0.3">
      <c r="A4">
        <v>16</v>
      </c>
      <c r="B4">
        <v>5.1195100693148523E-3</v>
      </c>
      <c r="C4">
        <v>16</v>
      </c>
      <c r="D4">
        <v>5.360118783425182E-3</v>
      </c>
      <c r="E4">
        <v>16</v>
      </c>
      <c r="F4">
        <v>5.6032681536068848E-3</v>
      </c>
      <c r="G4">
        <v>16</v>
      </c>
      <c r="H4">
        <v>5.9026638731335072E-3</v>
      </c>
      <c r="I4">
        <v>16</v>
      </c>
      <c r="J4">
        <v>6.8208178852968426E-3</v>
      </c>
    </row>
    <row r="5" spans="1:10" x14ac:dyDescent="0.3">
      <c r="A5">
        <v>32</v>
      </c>
      <c r="B5">
        <v>6.6299105389534653E-3</v>
      </c>
      <c r="C5">
        <v>32</v>
      </c>
      <c r="D5">
        <v>6.9326721602594584E-3</v>
      </c>
      <c r="E5">
        <v>32</v>
      </c>
      <c r="F5">
        <v>7.2351161393286343E-3</v>
      </c>
      <c r="G5">
        <v>32</v>
      </c>
      <c r="H5">
        <v>7.566810848683379E-3</v>
      </c>
      <c r="I5">
        <v>32</v>
      </c>
      <c r="J5">
        <v>8.2610462332865092E-3</v>
      </c>
    </row>
    <row r="6" spans="1:10" x14ac:dyDescent="0.3">
      <c r="A6">
        <v>48</v>
      </c>
      <c r="B6">
        <v>8.6015958090664285E-3</v>
      </c>
      <c r="C6">
        <v>48</v>
      </c>
      <c r="D6">
        <v>8.9878248553901512E-3</v>
      </c>
      <c r="E6">
        <v>48</v>
      </c>
      <c r="F6">
        <v>9.3713385385231947E-3</v>
      </c>
      <c r="G6">
        <v>48</v>
      </c>
      <c r="H6">
        <v>9.7703039379334004E-3</v>
      </c>
      <c r="I6">
        <v>48</v>
      </c>
      <c r="J6">
        <v>1.0374479993475391E-2</v>
      </c>
    </row>
    <row r="7" spans="1:10" x14ac:dyDescent="0.3">
      <c r="A7">
        <v>64</v>
      </c>
      <c r="B7">
        <v>1.11714150425086E-2</v>
      </c>
      <c r="C7">
        <v>64</v>
      </c>
      <c r="D7">
        <v>1.1668163621785601E-2</v>
      </c>
      <c r="E7">
        <v>64</v>
      </c>
      <c r="F7">
        <v>1.2159845865024919E-2</v>
      </c>
      <c r="G7">
        <v>64</v>
      </c>
      <c r="H7">
        <v>1.2660176249948821E-2</v>
      </c>
      <c r="I7">
        <v>64</v>
      </c>
      <c r="J7">
        <v>1.3275215643887971E-2</v>
      </c>
    </row>
    <row r="8" spans="1:10" x14ac:dyDescent="0.3">
      <c r="A8">
        <v>80</v>
      </c>
      <c r="B8">
        <v>1.4517764171883879E-2</v>
      </c>
      <c r="C8">
        <v>80</v>
      </c>
      <c r="D8">
        <v>1.515970292773075E-2</v>
      </c>
      <c r="E8">
        <v>80</v>
      </c>
      <c r="F8">
        <v>1.5793991865414359E-2</v>
      </c>
      <c r="G8">
        <v>80</v>
      </c>
      <c r="H8">
        <v>1.64337382830212E-2</v>
      </c>
      <c r="I8">
        <v>80</v>
      </c>
      <c r="J8">
        <v>1.7138721793398662E-2</v>
      </c>
    </row>
    <row r="9" spans="1:10" x14ac:dyDescent="0.3">
      <c r="A9">
        <v>96</v>
      </c>
      <c r="B9">
        <v>1.8872923855821719E-2</v>
      </c>
      <c r="C9">
        <v>96</v>
      </c>
      <c r="D9">
        <v>1.9704749431648481E-2</v>
      </c>
      <c r="E9">
        <v>96</v>
      </c>
      <c r="F9">
        <v>2.0525873711403731E-2</v>
      </c>
      <c r="G9">
        <v>96</v>
      </c>
      <c r="H9">
        <v>2.1351121826374331E-2</v>
      </c>
      <c r="I9">
        <v>96</v>
      </c>
      <c r="J9">
        <v>2.2216118714126279E-2</v>
      </c>
    </row>
    <row r="10" spans="1:10" x14ac:dyDescent="0.3">
      <c r="A10">
        <v>112</v>
      </c>
      <c r="B10">
        <v>2.4539066901789471E-2</v>
      </c>
      <c r="C10">
        <v>112</v>
      </c>
      <c r="D10">
        <v>2.5618591337887471E-2</v>
      </c>
      <c r="E10">
        <v>112</v>
      </c>
      <c r="F10">
        <v>2.6683651772227899E-2</v>
      </c>
      <c r="G10">
        <v>112</v>
      </c>
      <c r="H10">
        <v>2.7752486807438009E-2</v>
      </c>
      <c r="I10">
        <v>112</v>
      </c>
      <c r="J10">
        <v>2.8849321971525739E-2</v>
      </c>
    </row>
    <row r="11" spans="1:10" x14ac:dyDescent="0.3">
      <c r="A11">
        <v>128</v>
      </c>
      <c r="B11">
        <v>3.1908965515793274E-2</v>
      </c>
      <c r="C11">
        <v>128</v>
      </c>
      <c r="D11">
        <v>3.3311083666798073E-2</v>
      </c>
      <c r="E11">
        <v>128</v>
      </c>
      <c r="F11">
        <v>3.4693977646350307E-2</v>
      </c>
      <c r="G11">
        <v>128</v>
      </c>
      <c r="H11">
        <v>3.6080867366750861E-2</v>
      </c>
      <c r="I11">
        <v>128</v>
      </c>
      <c r="J11">
        <v>3.7491947749308314E-2</v>
      </c>
    </row>
    <row r="12" spans="1:10" x14ac:dyDescent="0.3">
      <c r="A12">
        <v>144</v>
      </c>
      <c r="B12">
        <v>4.1492651310753949E-2</v>
      </c>
      <c r="C12">
        <v>144</v>
      </c>
      <c r="D12">
        <v>4.33144238723292E-2</v>
      </c>
      <c r="E12">
        <v>144</v>
      </c>
      <c r="F12">
        <v>4.5110851996040036E-2</v>
      </c>
      <c r="G12">
        <v>144</v>
      </c>
      <c r="H12">
        <v>4.6911878295952683E-2</v>
      </c>
      <c r="I12">
        <v>144</v>
      </c>
      <c r="J12">
        <v>4.8738119763838066E-2</v>
      </c>
    </row>
    <row r="13" spans="1:10" x14ac:dyDescent="0.3">
      <c r="A13">
        <v>160</v>
      </c>
      <c r="B13">
        <v>5.3951472102846912E-2</v>
      </c>
      <c r="C13">
        <v>160</v>
      </c>
      <c r="D13">
        <v>5.6318594961153573E-2</v>
      </c>
      <c r="E13">
        <v>160</v>
      </c>
      <c r="F13">
        <v>5.8652410932456774E-2</v>
      </c>
      <c r="G13">
        <v>160</v>
      </c>
      <c r="H13">
        <v>6.0991711917658592E-2</v>
      </c>
      <c r="I13">
        <v>160</v>
      </c>
      <c r="J13">
        <v>6.3360551127484746E-2</v>
      </c>
    </row>
    <row r="14" spans="1:10" x14ac:dyDescent="0.3">
      <c r="A14">
        <v>176</v>
      </c>
      <c r="B14">
        <v>7.0141023955418089E-2</v>
      </c>
      <c r="C14">
        <v>176</v>
      </c>
      <c r="D14">
        <v>7.3215954565412356E-2</v>
      </c>
      <c r="E14">
        <v>176</v>
      </c>
      <c r="F14">
        <v>7.6247104984651884E-2</v>
      </c>
      <c r="G14">
        <v>176</v>
      </c>
      <c r="H14">
        <v>7.928481271190381E-2</v>
      </c>
      <c r="I14">
        <v>176</v>
      </c>
      <c r="J14">
        <v>8.2359019456491614E-2</v>
      </c>
    </row>
    <row r="15" spans="1:10" x14ac:dyDescent="0.3">
      <c r="A15">
        <v>192.00000000000009</v>
      </c>
      <c r="B15">
        <v>9.11640301134721E-2</v>
      </c>
      <c r="C15">
        <v>192.00000000000009</v>
      </c>
      <c r="D15">
        <v>9.5155952252241438E-2</v>
      </c>
      <c r="E15">
        <v>192.00000000000009</v>
      </c>
      <c r="F15">
        <v>9.9090139042973716E-2</v>
      </c>
      <c r="G15">
        <v>192.00000000000009</v>
      </c>
      <c r="H15">
        <v>0.10303193214760679</v>
      </c>
      <c r="I15">
        <v>192.00000000000009</v>
      </c>
      <c r="J15">
        <v>0.10701958343154759</v>
      </c>
    </row>
    <row r="16" spans="1:10" x14ac:dyDescent="0.3">
      <c r="A16">
        <v>208.00000000000011</v>
      </c>
      <c r="B16">
        <v>0.11843278967875639</v>
      </c>
      <c r="C16">
        <v>208.00000000000011</v>
      </c>
      <c r="D16">
        <v>0.1236093031683131</v>
      </c>
      <c r="E16">
        <v>208.00000000000011</v>
      </c>
      <c r="F16">
        <v>0.12870916137714811</v>
      </c>
      <c r="G16">
        <v>208.00000000000011</v>
      </c>
      <c r="H16">
        <v>0.1338171505650137</v>
      </c>
      <c r="I16">
        <v>208.00000000000011</v>
      </c>
      <c r="J16">
        <v>0.13898256434766432</v>
      </c>
    </row>
    <row r="17" spans="1:10" x14ac:dyDescent="0.3">
      <c r="A17">
        <v>224.00000000000009</v>
      </c>
      <c r="B17">
        <v>0.1537371698803722</v>
      </c>
      <c r="C17">
        <v>224.00000000000009</v>
      </c>
      <c r="D17">
        <v>0.16043687788380229</v>
      </c>
      <c r="E17">
        <v>224.00000000000009</v>
      </c>
      <c r="F17">
        <v>0.16703366805799699</v>
      </c>
      <c r="G17">
        <v>224.00000000000009</v>
      </c>
      <c r="H17">
        <v>0.1736374491123604</v>
      </c>
      <c r="I17">
        <v>224.00000000000009</v>
      </c>
      <c r="J17">
        <v>0.18031183450688859</v>
      </c>
    </row>
    <row r="18" spans="1:10" x14ac:dyDescent="0.3">
      <c r="A18">
        <v>240.00000000000011</v>
      </c>
      <c r="B18">
        <v>0.19930634866834029</v>
      </c>
      <c r="C18">
        <v>240.00000000000011</v>
      </c>
      <c r="D18">
        <v>0.2079500607784833</v>
      </c>
      <c r="E18">
        <v>240.00000000000011</v>
      </c>
      <c r="F18">
        <v>0.21645330233283058</v>
      </c>
      <c r="G18">
        <v>240.00000000000011</v>
      </c>
      <c r="H18">
        <v>0.2249583146048442</v>
      </c>
      <c r="I18">
        <v>240.00000000000011</v>
      </c>
      <c r="J18">
        <v>0.23354703289034959</v>
      </c>
    </row>
    <row r="19" spans="1:10" x14ac:dyDescent="0.3">
      <c r="A19">
        <v>256.00000000000011</v>
      </c>
      <c r="B19">
        <v>0.25783841385117501</v>
      </c>
      <c r="C19">
        <v>256.00000000000011</v>
      </c>
      <c r="D19">
        <v>0.26893422698696379</v>
      </c>
      <c r="E19">
        <v>256.00000000000011</v>
      </c>
      <c r="F19">
        <v>0.2798341355351705</v>
      </c>
      <c r="G19">
        <v>256.00000000000011</v>
      </c>
      <c r="H19">
        <v>0.2907218005833318</v>
      </c>
      <c r="I19">
        <v>256.00000000000011</v>
      </c>
      <c r="J19">
        <v>0.30170235647084742</v>
      </c>
    </row>
    <row r="20" spans="1:10" x14ac:dyDescent="0.3">
      <c r="A20">
        <v>272.00000000000006</v>
      </c>
      <c r="B20">
        <v>0.3324518821232243</v>
      </c>
      <c r="C20">
        <v>272.00000000000006</v>
      </c>
      <c r="D20">
        <v>0.34658641906472276</v>
      </c>
      <c r="E20">
        <v>272.00000000000006</v>
      </c>
      <c r="F20">
        <v>0.36044113475178857</v>
      </c>
      <c r="G20">
        <v>272.00000000000006</v>
      </c>
      <c r="H20">
        <v>0.37425251876906623</v>
      </c>
      <c r="I20">
        <v>272.00000000000006</v>
      </c>
      <c r="J20">
        <v>0.38815485023791357</v>
      </c>
    </row>
    <row r="21" spans="1:10" x14ac:dyDescent="0.3">
      <c r="A21">
        <v>288.00000000000011</v>
      </c>
      <c r="B21">
        <v>0.42649802800348768</v>
      </c>
      <c r="C21">
        <v>288.00000000000011</v>
      </c>
      <c r="D21">
        <v>0.4443051915834913</v>
      </c>
      <c r="E21">
        <v>288.00000000000011</v>
      </c>
      <c r="F21">
        <v>0.46170458008447129</v>
      </c>
      <c r="G21">
        <v>288.00000000000011</v>
      </c>
      <c r="H21">
        <v>0.47899990037403561</v>
      </c>
      <c r="I21">
        <v>288.00000000000011</v>
      </c>
      <c r="J21">
        <v>0.49636196551537703</v>
      </c>
    </row>
    <row r="22" spans="1:10" x14ac:dyDescent="0.3">
      <c r="A22">
        <v>304.00000000000023</v>
      </c>
      <c r="B22">
        <v>0.54319275335641903</v>
      </c>
      <c r="C22">
        <v>304.00000000000023</v>
      </c>
      <c r="D22">
        <v>0.56529761846891446</v>
      </c>
      <c r="E22">
        <v>304.00000000000023</v>
      </c>
      <c r="F22">
        <v>0.58680316013184197</v>
      </c>
      <c r="G22">
        <v>304.00000000000023</v>
      </c>
      <c r="H22">
        <v>0.60809863178736134</v>
      </c>
      <c r="I22">
        <v>304.00000000000023</v>
      </c>
      <c r="J22">
        <v>0.62940088304291431</v>
      </c>
    </row>
    <row r="23" spans="1:10" x14ac:dyDescent="0.3">
      <c r="A23">
        <v>320.00000000000017</v>
      </c>
      <c r="B23">
        <v>0.68511575828854143</v>
      </c>
      <c r="C23">
        <v>320.00000000000017</v>
      </c>
      <c r="D23">
        <v>0.71206699632114112</v>
      </c>
      <c r="E23">
        <v>320.00000000000017</v>
      </c>
      <c r="F23">
        <v>0.73814405920933013</v>
      </c>
      <c r="G23">
        <v>320.00000000000017</v>
      </c>
      <c r="H23">
        <v>0.76384504667478814</v>
      </c>
      <c r="I23">
        <v>320.00000000000017</v>
      </c>
      <c r="J23">
        <v>0.78944522545003348</v>
      </c>
    </row>
    <row r="24" spans="1:10" x14ac:dyDescent="0.3">
      <c r="A24">
        <v>336.00000000000017</v>
      </c>
      <c r="B24">
        <v>0.85375406587039759</v>
      </c>
      <c r="C24">
        <v>336.00000000000017</v>
      </c>
      <c r="D24">
        <v>0.88597273744568728</v>
      </c>
      <c r="E24">
        <v>336.00000000000017</v>
      </c>
      <c r="F24">
        <v>0.91694430654352999</v>
      </c>
      <c r="G24">
        <v>336.00000000000017</v>
      </c>
      <c r="H24">
        <v>0.94730444075869213</v>
      </c>
      <c r="I24">
        <v>336.00000000000017</v>
      </c>
      <c r="J24">
        <v>0.97740237709391997</v>
      </c>
    </row>
    <row r="25" spans="1:10" x14ac:dyDescent="0.3">
      <c r="A25">
        <v>352.00000000000023</v>
      </c>
      <c r="B25">
        <v>1.0493047068508921</v>
      </c>
      <c r="C25">
        <v>352.00000000000023</v>
      </c>
      <c r="D25">
        <v>1.0870714710992428</v>
      </c>
      <c r="E25">
        <v>352.00000000000023</v>
      </c>
      <c r="F25">
        <v>1.1231129051900361</v>
      </c>
      <c r="G25">
        <v>352.00000000000023</v>
      </c>
      <c r="H25">
        <v>1.1582358047223531</v>
      </c>
      <c r="I25">
        <v>352.00000000000023</v>
      </c>
      <c r="J25">
        <v>1.192881592331261</v>
      </c>
    </row>
    <row r="26" spans="1:10" x14ac:dyDescent="0.3">
      <c r="A26">
        <v>368.00000000000023</v>
      </c>
      <c r="B26">
        <v>1.2708086331022079</v>
      </c>
      <c r="C26">
        <v>368.00000000000023</v>
      </c>
      <c r="D26">
        <v>1.3142867624246162</v>
      </c>
      <c r="E26">
        <v>368.00000000000023</v>
      </c>
      <c r="F26">
        <v>1.355455012173491</v>
      </c>
      <c r="G26">
        <v>368.00000000000023</v>
      </c>
      <c r="H26">
        <v>1.3953284164999491</v>
      </c>
      <c r="I26">
        <v>368.00000000000023</v>
      </c>
      <c r="J26">
        <v>1.4344604791992541</v>
      </c>
    </row>
    <row r="27" spans="1:10" x14ac:dyDescent="0.3">
      <c r="A27">
        <v>384.00000000000017</v>
      </c>
      <c r="B27">
        <v>1.51649132074404</v>
      </c>
      <c r="C27">
        <v>384.00000000000017</v>
      </c>
      <c r="D27">
        <v>1.5657647862186139</v>
      </c>
      <c r="E27">
        <v>384.00000000000017</v>
      </c>
      <c r="F27">
        <v>1.6120395144751158</v>
      </c>
      <c r="G27">
        <v>384.00000000000017</v>
      </c>
      <c r="H27">
        <v>1.656578184585076</v>
      </c>
      <c r="I27">
        <v>384.00000000000017</v>
      </c>
      <c r="J27">
        <v>1.7000670691305959</v>
      </c>
    </row>
    <row r="28" spans="1:10" x14ac:dyDescent="0.3">
      <c r="A28">
        <v>400.00000000000017</v>
      </c>
      <c r="B28">
        <v>1.7841231110125819</v>
      </c>
      <c r="C28">
        <v>400.00000000000017</v>
      </c>
      <c r="D28">
        <v>1.8392309970099139</v>
      </c>
      <c r="E28">
        <v>400.00000000000017</v>
      </c>
      <c r="F28">
        <v>1.890549476060347</v>
      </c>
      <c r="G28">
        <v>400.00000000000017</v>
      </c>
      <c r="H28">
        <v>1.939629825072851</v>
      </c>
      <c r="I28">
        <v>400.00000000000017</v>
      </c>
      <c r="J28">
        <v>1.987312043946015</v>
      </c>
    </row>
    <row r="29" spans="1:10" x14ac:dyDescent="0.3">
      <c r="A29">
        <v>416.00000000000034</v>
      </c>
      <c r="B29">
        <v>2.0712871739840959</v>
      </c>
      <c r="C29">
        <v>416.00000000000034</v>
      </c>
      <c r="D29">
        <v>2.1322471902928499</v>
      </c>
      <c r="E29">
        <v>416.00000000000034</v>
      </c>
      <c r="F29">
        <v>2.188526978245827</v>
      </c>
      <c r="G29">
        <v>416.00000000000034</v>
      </c>
      <c r="H29">
        <v>2.2420087543034888</v>
      </c>
      <c r="I29">
        <v>416.00000000000034</v>
      </c>
      <c r="J29">
        <v>2.2937073029285142</v>
      </c>
    </row>
    <row r="30" spans="1:10" x14ac:dyDescent="0.3">
      <c r="A30">
        <v>432.00000000000028</v>
      </c>
      <c r="B30">
        <v>2.3755372029879429</v>
      </c>
      <c r="C30">
        <v>432.00000000000028</v>
      </c>
      <c r="D30">
        <v>2.4423594416538901</v>
      </c>
      <c r="E30">
        <v>432.00000000000028</v>
      </c>
      <c r="F30">
        <v>2.5035107435672428</v>
      </c>
      <c r="G30">
        <v>432.00000000000028</v>
      </c>
      <c r="H30">
        <v>2.561248346098461</v>
      </c>
      <c r="I30">
        <v>432.00000000000028</v>
      </c>
      <c r="J30">
        <v>2.6167830482846122</v>
      </c>
    </row>
    <row r="31" spans="1:10" x14ac:dyDescent="0.3">
      <c r="A31">
        <v>448.00000000000028</v>
      </c>
      <c r="B31">
        <v>2.6944738014180509</v>
      </c>
      <c r="C31">
        <v>448.00000000000028</v>
      </c>
      <c r="D31">
        <v>2.7671685598555031</v>
      </c>
      <c r="E31">
        <v>448.00000000000028</v>
      </c>
      <c r="F31">
        <v>2.833100323180366</v>
      </c>
      <c r="G31">
        <v>448.00000000000028</v>
      </c>
      <c r="H31">
        <v>2.8949479503323787</v>
      </c>
      <c r="I31">
        <v>448.00000000000028</v>
      </c>
      <c r="J31">
        <v>2.9541399009161959</v>
      </c>
    </row>
    <row r="32" spans="1:10" x14ac:dyDescent="0.3">
      <c r="A32">
        <v>464.00000000000028</v>
      </c>
      <c r="B32">
        <v>3.025774128900272</v>
      </c>
      <c r="C32">
        <v>464.00000000000028</v>
      </c>
      <c r="D32">
        <v>3.1043572195387301</v>
      </c>
      <c r="E32">
        <v>464.00000000000028</v>
      </c>
      <c r="F32">
        <v>3.1749802807717571</v>
      </c>
      <c r="G32">
        <v>464.00000000000028</v>
      </c>
      <c r="H32">
        <v>3.240794128776042</v>
      </c>
      <c r="I32">
        <v>464.00000000000028</v>
      </c>
      <c r="J32">
        <v>3.30346733275691</v>
      </c>
    </row>
    <row r="33" spans="1:10" x14ac:dyDescent="0.3">
      <c r="A33">
        <v>480.00000000000034</v>
      </c>
      <c r="B33">
        <v>3.367198367890579</v>
      </c>
      <c r="C33">
        <v>480.00000000000034</v>
      </c>
      <c r="D33">
        <v>3.4516962442186951</v>
      </c>
      <c r="E33">
        <v>480.00000000000034</v>
      </c>
      <c r="F33">
        <v>3.5269255166889257</v>
      </c>
      <c r="G33">
        <v>480.00000000000034</v>
      </c>
      <c r="H33">
        <v>3.5965648258367962</v>
      </c>
      <c r="I33">
        <v>480.00000000000034</v>
      </c>
      <c r="J33">
        <v>3.6625466672256639</v>
      </c>
    </row>
    <row r="34" spans="1:10" x14ac:dyDescent="0.3">
      <c r="A34">
        <v>496.00000000000028</v>
      </c>
      <c r="B34">
        <v>3.7165844320182919</v>
      </c>
      <c r="C34">
        <v>496.00000000000028</v>
      </c>
      <c r="D34">
        <v>3.8070405922938679</v>
      </c>
      <c r="E34">
        <v>496.00000000000028</v>
      </c>
      <c r="F34">
        <v>3.886797289613003</v>
      </c>
      <c r="G34">
        <v>496.00000000000028</v>
      </c>
      <c r="H34">
        <v>3.9601250140975237</v>
      </c>
      <c r="I34">
        <v>496.00000000000028</v>
      </c>
      <c r="J34">
        <v>4.0292461995154891</v>
      </c>
    </row>
    <row r="35" spans="1:10" x14ac:dyDescent="0.3">
      <c r="A35">
        <v>512.00000000000034</v>
      </c>
      <c r="B35">
        <v>4.0718357653831765</v>
      </c>
      <c r="C35">
        <v>512.00000000000034</v>
      </c>
      <c r="D35">
        <v>4.1683190878822645</v>
      </c>
      <c r="E35">
        <v>512.00000000000034</v>
      </c>
      <c r="F35">
        <v>4.252533476012899</v>
      </c>
      <c r="G35">
        <v>512.00000000000034</v>
      </c>
      <c r="H35">
        <v>4.3294169843400194</v>
      </c>
      <c r="I35">
        <v>512.00000000000034</v>
      </c>
      <c r="J35">
        <v>4.401511342439381</v>
      </c>
    </row>
    <row r="36" spans="1:10" x14ac:dyDescent="0.3">
      <c r="A36">
        <v>528.00000000000034</v>
      </c>
      <c r="B36">
        <v>4.4309083124559931</v>
      </c>
      <c r="C36">
        <v>528.00000000000034</v>
      </c>
      <c r="D36">
        <v>4.533522649586148</v>
      </c>
      <c r="E36">
        <v>528.00000000000034</v>
      </c>
      <c r="F36">
        <v>4.6221375816658004</v>
      </c>
      <c r="G36">
        <v>528.00000000000034</v>
      </c>
      <c r="H36">
        <v>4.7024499350036715</v>
      </c>
      <c r="I36">
        <v>528.00000000000034</v>
      </c>
      <c r="J36">
        <v>4.7773547792376521</v>
      </c>
    </row>
    <row r="37" spans="1:10" x14ac:dyDescent="0.3">
      <c r="A37">
        <v>544.00000000000034</v>
      </c>
      <c r="B37">
        <v>4.791808326519889</v>
      </c>
      <c r="C37">
        <v>544.00000000000034</v>
      </c>
      <c r="D37">
        <v>4.9007008961328333</v>
      </c>
      <c r="E37">
        <v>544.00000000000034</v>
      </c>
      <c r="F37">
        <v>4.993676004559144</v>
      </c>
      <c r="G37">
        <v>544.00000000000034</v>
      </c>
      <c r="H37">
        <v>5.077298451606933</v>
      </c>
      <c r="I37">
        <v>544.00000000000034</v>
      </c>
      <c r="J37">
        <v>5.1548564620405894</v>
      </c>
    </row>
    <row r="38" spans="1:10" x14ac:dyDescent="0.3">
      <c r="A38">
        <v>560.00000000000034</v>
      </c>
      <c r="B38">
        <v>5.1526129372503959</v>
      </c>
      <c r="C38">
        <v>560.00000000000034</v>
      </c>
      <c r="D38">
        <v>5.2679781950009934</v>
      </c>
      <c r="E38">
        <v>560.00000000000034</v>
      </c>
      <c r="F38">
        <v>5.3652939866628166</v>
      </c>
      <c r="G38">
        <v>560.00000000000034</v>
      </c>
      <c r="H38">
        <v>5.4521197785784494</v>
      </c>
      <c r="I38">
        <v>560.00000000000034</v>
      </c>
      <c r="J38">
        <v>5.5321827849304555</v>
      </c>
    </row>
    <row r="39" spans="1:10" x14ac:dyDescent="0.3">
      <c r="A39">
        <v>576.00000000000045</v>
      </c>
      <c r="B39">
        <v>5.5115141925445021</v>
      </c>
      <c r="C39">
        <v>576.00000000000045</v>
      </c>
      <c r="D39">
        <v>5.6335912863179942</v>
      </c>
      <c r="E39">
        <v>576.00000000000045</v>
      </c>
      <c r="F39">
        <v>5.7352519902801076</v>
      </c>
      <c r="G39">
        <v>576.00000000000045</v>
      </c>
      <c r="H39">
        <v>5.8251906693410591</v>
      </c>
      <c r="I39">
        <v>576.00000000000045</v>
      </c>
      <c r="J39">
        <v>5.9076245190705245</v>
      </c>
    </row>
    <row r="40" spans="1:10" x14ac:dyDescent="0.3">
      <c r="A40">
        <v>592.00000000000045</v>
      </c>
      <c r="B40">
        <v>5.8668725434994444</v>
      </c>
      <c r="C40">
        <v>592.00000000000045</v>
      </c>
      <c r="D40">
        <v>5.9959372534721522</v>
      </c>
      <c r="E40">
        <v>592.00000000000045</v>
      </c>
      <c r="F40">
        <v>6.1019715882084249</v>
      </c>
      <c r="G40">
        <v>592.00000000000045</v>
      </c>
      <c r="H40">
        <v>6.1949524219982175</v>
      </c>
      <c r="I40">
        <v>592.00000000000045</v>
      </c>
      <c r="J40">
        <v>6.2796413737874284</v>
      </c>
    </row>
    <row r="41" spans="1:10" x14ac:dyDescent="0.3">
      <c r="A41">
        <v>608.00000000000045</v>
      </c>
      <c r="B41">
        <v>6.2172608525327879</v>
      </c>
      <c r="C41">
        <v>608.00000000000045</v>
      </c>
      <c r="D41">
        <v>6.353614800745329</v>
      </c>
      <c r="E41">
        <v>608.00000000000045</v>
      </c>
      <c r="F41">
        <v>6.4640746244498271</v>
      </c>
      <c r="G41">
        <v>608.00000000000045</v>
      </c>
      <c r="H41">
        <v>6.560048254893049</v>
      </c>
      <c r="I41">
        <v>608.00000000000045</v>
      </c>
      <c r="J41">
        <v>6.6468976485282294</v>
      </c>
    </row>
    <row r="42" spans="1:10" x14ac:dyDescent="0.3">
      <c r="A42">
        <v>624.00000000000045</v>
      </c>
      <c r="B42">
        <v>6.5614872018517154</v>
      </c>
      <c r="C42">
        <v>624.00000000000045</v>
      </c>
      <c r="D42">
        <v>6.7054470600138751</v>
      </c>
      <c r="E42">
        <v>624.00000000000045</v>
      </c>
      <c r="F42">
        <v>6.8204045026685796</v>
      </c>
      <c r="G42">
        <v>624.00000000000045</v>
      </c>
      <c r="H42">
        <v>6.9193426810274588</v>
      </c>
      <c r="I42">
        <v>624.00000000000045</v>
      </c>
      <c r="J42">
        <v>7.0082795244769205</v>
      </c>
    </row>
    <row r="43" spans="1:10" x14ac:dyDescent="0.3">
      <c r="A43">
        <v>640.00000000000045</v>
      </c>
      <c r="B43">
        <v>6.8985954660728872</v>
      </c>
      <c r="C43">
        <v>640.00000000000045</v>
      </c>
      <c r="D43">
        <v>7.0504837175370323</v>
      </c>
      <c r="E43">
        <v>640.00000000000045</v>
      </c>
      <c r="F43">
        <v>7.1700275593729721</v>
      </c>
      <c r="G43">
        <v>640.00000000000045</v>
      </c>
      <c r="H43">
        <v>7.271921418809594</v>
      </c>
      <c r="I43">
        <v>640.00000000000045</v>
      </c>
      <c r="J43">
        <v>7.3628932581733677</v>
      </c>
    </row>
    <row r="44" spans="1:10" x14ac:dyDescent="0.3">
      <c r="A44">
        <v>656.00000000000045</v>
      </c>
      <c r="B44">
        <v>7.2278493257557299</v>
      </c>
      <c r="C44">
        <v>656.00000000000045</v>
      </c>
      <c r="D44">
        <v>7.3879869881026519</v>
      </c>
      <c r="E44">
        <v>656.00000000000045</v>
      </c>
      <c r="F44">
        <v>7.5122188821043183</v>
      </c>
      <c r="G44">
        <v>656.00000000000045</v>
      </c>
      <c r="H44">
        <v>7.6170763677552333</v>
      </c>
      <c r="I44">
        <v>656.00000000000045</v>
      </c>
      <c r="J44">
        <v>7.7100490804742998</v>
      </c>
    </row>
    <row r="45" spans="1:10" x14ac:dyDescent="0.3">
      <c r="A45">
        <v>672.00000000000045</v>
      </c>
      <c r="B45">
        <v>7.5487069712967454</v>
      </c>
      <c r="C45">
        <v>672.00000000000045</v>
      </c>
      <c r="D45">
        <v>7.7174080419462987</v>
      </c>
      <c r="E45">
        <v>672.00000000000045</v>
      </c>
      <c r="F45">
        <v>7.8464389253941773</v>
      </c>
      <c r="G45">
        <v>672.00000000000045</v>
      </c>
      <c r="H45">
        <v>7.9542819020107043</v>
      </c>
      <c r="I45">
        <v>672.00000000000045</v>
      </c>
      <c r="J45">
        <v>8.049236999537051</v>
      </c>
    </row>
    <row r="46" spans="1:10" x14ac:dyDescent="0.3">
      <c r="A46">
        <v>688.00000000000045</v>
      </c>
      <c r="B46">
        <v>7.8607924019796771</v>
      </c>
      <c r="C46">
        <v>688.00000000000045</v>
      </c>
      <c r="D46">
        <v>8.038359588900823</v>
      </c>
      <c r="E46">
        <v>688.00000000000045</v>
      </c>
      <c r="F46">
        <v>8.172306430273947</v>
      </c>
      <c r="G46">
        <v>688.00000000000045</v>
      </c>
      <c r="H46">
        <v>8.2831678072811741</v>
      </c>
      <c r="I46">
        <v>688.00000000000045</v>
      </c>
      <c r="J46">
        <v>8.3800996563326802</v>
      </c>
    </row>
    <row r="47" spans="1:10" x14ac:dyDescent="0.3">
      <c r="A47">
        <v>704.00000000000057</v>
      </c>
      <c r="B47">
        <v>8.1638671352994781</v>
      </c>
      <c r="C47">
        <v>704.00000000000057</v>
      </c>
      <c r="D47">
        <v>8.3505884670970048</v>
      </c>
      <c r="E47">
        <v>704.00000000000057</v>
      </c>
      <c r="F47">
        <v>8.4895713783647615</v>
      </c>
      <c r="G47">
        <v>704.00000000000057</v>
      </c>
      <c r="H47">
        <v>8.6034924349091249</v>
      </c>
      <c r="I47">
        <v>704.00000000000057</v>
      </c>
      <c r="J47">
        <v>8.7024056337428899</v>
      </c>
    </row>
    <row r="48" spans="1:10" x14ac:dyDescent="0.3">
      <c r="A48">
        <v>720.00000000000057</v>
      </c>
      <c r="B48">
        <v>8.4578043734179928</v>
      </c>
      <c r="C48">
        <v>720.00000000000057</v>
      </c>
      <c r="D48">
        <v>8.653950390011353</v>
      </c>
      <c r="E48">
        <v>720.00000000000057</v>
      </c>
      <c r="F48">
        <v>8.7980900802184951</v>
      </c>
      <c r="G48">
        <v>720.00000000000057</v>
      </c>
      <c r="H48">
        <v>8.915118066583668</v>
      </c>
      <c r="I48">
        <v>720.00000000000057</v>
      </c>
      <c r="J48">
        <v>9.0160250879343486</v>
      </c>
    </row>
    <row r="49" spans="1:10" x14ac:dyDescent="0.3">
      <c r="A49">
        <v>736.00000000000057</v>
      </c>
      <c r="B49">
        <v>8.7425664834795125</v>
      </c>
      <c r="C49">
        <v>736.00000000000057</v>
      </c>
      <c r="D49">
        <v>8.9483878141285818</v>
      </c>
      <c r="E49">
        <v>736.00000000000057</v>
      </c>
      <c r="F49">
        <v>9.0978033417196755</v>
      </c>
      <c r="G49">
        <v>736.00000000000057</v>
      </c>
      <c r="H49">
        <v>9.2179893721066453</v>
      </c>
      <c r="I49">
        <v>736.00000000000057</v>
      </c>
      <c r="J49">
        <v>9.3209085076433951</v>
      </c>
    </row>
    <row r="50" spans="1:10" x14ac:dyDescent="0.3">
      <c r="A50">
        <v>752.00000000000057</v>
      </c>
      <c r="B50">
        <v>9.0181859513677658</v>
      </c>
      <c r="C50">
        <v>752.00000000000057</v>
      </c>
      <c r="D50">
        <v>9.2339111667959539</v>
      </c>
      <c r="E50">
        <v>752.00000000000057</v>
      </c>
      <c r="F50">
        <v>9.3887179466803712</v>
      </c>
      <c r="G50">
        <v>752.00000000000057</v>
      </c>
      <c r="H50">
        <v>9.5121151671544641</v>
      </c>
      <c r="I50">
        <v>752.00000000000057</v>
      </c>
      <c r="J50">
        <v>9.6170687665617116</v>
      </c>
    </row>
    <row r="51" spans="1:10" x14ac:dyDescent="0.3">
      <c r="A51">
        <v>768.00000000000057</v>
      </c>
      <c r="B51">
        <v>9.2847496060361792</v>
      </c>
      <c r="C51">
        <v>768.00000000000057</v>
      </c>
      <c r="D51">
        <v>9.5105832848317817</v>
      </c>
      <c r="E51">
        <v>768.00000000000057</v>
      </c>
      <c r="F51">
        <v>9.6708913114337118</v>
      </c>
      <c r="G51">
        <v>768.00000000000057</v>
      </c>
      <c r="H51">
        <v>9.7975533136548645</v>
      </c>
      <c r="I51">
        <v>768.00000000000057</v>
      </c>
      <c r="J51">
        <v>9.904566291555593</v>
      </c>
    </row>
    <row r="52" spans="1:10" x14ac:dyDescent="0.3">
      <c r="A52">
        <v>784.00000000000057</v>
      </c>
      <c r="B52">
        <v>9.5423857509150114</v>
      </c>
      <c r="C52">
        <v>784.00000000000057</v>
      </c>
      <c r="D52">
        <v>9.7785067333413327</v>
      </c>
      <c r="E52">
        <v>784.00000000000057</v>
      </c>
      <c r="F52">
        <v>9.9444189879179063</v>
      </c>
      <c r="G52">
        <v>784.00000000000057</v>
      </c>
      <c r="H52">
        <v>10.074398435792951</v>
      </c>
      <c r="I52">
        <v>784.00000000000057</v>
      </c>
      <c r="J52">
        <v>10.183497012397991</v>
      </c>
    </row>
    <row r="53" spans="1:10" x14ac:dyDescent="0.3">
      <c r="A53">
        <v>800</v>
      </c>
      <c r="B53">
        <v>9.791253790544463</v>
      </c>
      <c r="C53">
        <v>800</v>
      </c>
      <c r="D53">
        <v>10.03781361191451</v>
      </c>
      <c r="E53">
        <v>800</v>
      </c>
      <c r="F53">
        <v>10.20942462924163</v>
      </c>
      <c r="G53">
        <v>800</v>
      </c>
      <c r="H53">
        <v>10.342772066964139</v>
      </c>
      <c r="I53">
        <v>800</v>
      </c>
      <c r="J53">
        <v>10.45398270767989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47B82-D69A-4BAC-A573-ECD4B8145250}">
  <sheetPr codeName="Foaie4"/>
  <dimension ref="A1:J83"/>
  <sheetViews>
    <sheetView workbookViewId="0">
      <selection activeCell="A2" sqref="A2"/>
    </sheetView>
  </sheetViews>
  <sheetFormatPr defaultRowHeight="14.4" x14ac:dyDescent="0.3"/>
  <cols>
    <col min="1" max="1" width="6.21875" bestFit="1" customWidth="1"/>
    <col min="2" max="2" width="31.109375" bestFit="1" customWidth="1"/>
    <col min="3" max="3" width="8.21875" bestFit="1" customWidth="1"/>
    <col min="4" max="4" width="31.109375" bestFit="1" customWidth="1"/>
    <col min="5" max="5" width="8.21875" bestFit="1" customWidth="1"/>
    <col min="6" max="6" width="31.109375" bestFit="1" customWidth="1"/>
    <col min="7" max="7" width="8.21875" bestFit="1" customWidth="1"/>
    <col min="8" max="8" width="31.109375" bestFit="1" customWidth="1"/>
    <col min="9" max="9" width="8.21875" bestFit="1" customWidth="1"/>
    <col min="10" max="10" width="29.5546875" bestFit="1" customWidth="1"/>
  </cols>
  <sheetData>
    <row r="1" spans="1:10" x14ac:dyDescent="0.3">
      <c r="A1" s="1" t="s">
        <v>25</v>
      </c>
      <c r="B1" s="1" t="s">
        <v>23</v>
      </c>
      <c r="C1" s="1" t="s">
        <v>25</v>
      </c>
      <c r="D1" s="1" t="s">
        <v>23</v>
      </c>
      <c r="E1" s="1" t="s">
        <v>25</v>
      </c>
      <c r="F1" s="1" t="s">
        <v>23</v>
      </c>
      <c r="G1" s="1" t="s">
        <v>25</v>
      </c>
      <c r="H1" s="1" t="s">
        <v>23</v>
      </c>
      <c r="I1" s="1" t="s">
        <v>25</v>
      </c>
      <c r="J1" s="1" t="s">
        <v>23</v>
      </c>
    </row>
    <row r="2" spans="1:10" x14ac:dyDescent="0.3">
      <c r="A2" t="s">
        <v>0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</row>
    <row r="3" spans="1:10" x14ac:dyDescent="0.3">
      <c r="A3">
        <v>0</v>
      </c>
      <c r="B3">
        <v>2.5071334074511998E-2</v>
      </c>
      <c r="C3">
        <v>0</v>
      </c>
      <c r="D3">
        <v>2.4204715343381412E-2</v>
      </c>
      <c r="E3">
        <v>0</v>
      </c>
      <c r="F3">
        <v>2.3170096910710609E-2</v>
      </c>
      <c r="G3">
        <v>0</v>
      </c>
      <c r="H3">
        <v>2.2840001338982192E-2</v>
      </c>
      <c r="I3">
        <v>0</v>
      </c>
      <c r="J3">
        <v>2.5861021551596579E-2</v>
      </c>
    </row>
    <row r="4" spans="1:10" x14ac:dyDescent="0.3">
      <c r="A4">
        <v>10</v>
      </c>
      <c r="B4">
        <v>2.4848709182988492E-2</v>
      </c>
      <c r="C4">
        <v>10</v>
      </c>
      <c r="D4">
        <v>2.4249937018710661E-2</v>
      </c>
      <c r="E4">
        <v>10</v>
      </c>
      <c r="F4">
        <v>2.372188827826463E-2</v>
      </c>
      <c r="G4">
        <v>10</v>
      </c>
      <c r="H4">
        <v>2.4317282992845302E-2</v>
      </c>
      <c r="I4">
        <v>10</v>
      </c>
      <c r="J4">
        <v>2.8735181303894783E-2</v>
      </c>
    </row>
    <row r="5" spans="1:10" x14ac:dyDescent="0.3">
      <c r="A5">
        <v>20</v>
      </c>
      <c r="B5">
        <v>2.4718639293621499E-2</v>
      </c>
      <c r="C5">
        <v>20</v>
      </c>
      <c r="D5">
        <v>2.444931716451058E-2</v>
      </c>
      <c r="E5">
        <v>20</v>
      </c>
      <c r="F5">
        <v>2.4525589000772331E-2</v>
      </c>
      <c r="G5">
        <v>20</v>
      </c>
      <c r="H5">
        <v>2.6167009864983572E-2</v>
      </c>
      <c r="I5">
        <v>20</v>
      </c>
      <c r="J5">
        <v>3.2092396507276577E-2</v>
      </c>
    </row>
    <row r="6" spans="1:10" x14ac:dyDescent="0.3">
      <c r="A6">
        <v>30</v>
      </c>
      <c r="B6">
        <v>2.4707254454454881E-2</v>
      </c>
      <c r="C6">
        <v>30</v>
      </c>
      <c r="D6">
        <v>2.4840772269433209E-2</v>
      </c>
      <c r="E6">
        <v>30</v>
      </c>
      <c r="F6">
        <v>2.5628883381176679E-2</v>
      </c>
      <c r="G6">
        <v>30</v>
      </c>
      <c r="H6">
        <v>2.843650265916231E-2</v>
      </c>
      <c r="I6">
        <v>30</v>
      </c>
      <c r="J6">
        <v>3.5987302860321722E-2</v>
      </c>
    </row>
    <row r="7" spans="1:10" x14ac:dyDescent="0.3">
      <c r="A7">
        <v>40</v>
      </c>
      <c r="B7">
        <v>2.4846433137554341E-2</v>
      </c>
      <c r="C7">
        <v>40</v>
      </c>
      <c r="D7">
        <v>2.5467902520990741E-2</v>
      </c>
      <c r="E7">
        <v>40</v>
      </c>
      <c r="F7">
        <v>2.7082332628319529E-2</v>
      </c>
      <c r="G7">
        <v>40</v>
      </c>
      <c r="H7">
        <v>3.1175162460724559E-2</v>
      </c>
      <c r="I7">
        <v>40</v>
      </c>
      <c r="J7">
        <v>4.0481856574152361E-2</v>
      </c>
    </row>
    <row r="8" spans="1:10" x14ac:dyDescent="0.3">
      <c r="A8">
        <v>50</v>
      </c>
      <c r="B8">
        <v>2.5174176084517282E-2</v>
      </c>
      <c r="C8">
        <v>50</v>
      </c>
      <c r="D8">
        <v>2.637934127290506E-2</v>
      </c>
      <c r="E8">
        <v>50</v>
      </c>
      <c r="F8">
        <v>2.893843910854035E-2</v>
      </c>
      <c r="G8">
        <v>50</v>
      </c>
      <c r="H8">
        <v>3.4435556424737959E-2</v>
      </c>
      <c r="I8">
        <v>50</v>
      </c>
      <c r="J8">
        <v>4.5646476007183523E-2</v>
      </c>
    </row>
    <row r="9" spans="1:10" x14ac:dyDescent="0.3">
      <c r="A9">
        <v>60</v>
      </c>
      <c r="B9">
        <v>2.5734567899742329E-2</v>
      </c>
      <c r="C9">
        <v>60</v>
      </c>
      <c r="D9">
        <v>2.7627705785858742E-2</v>
      </c>
      <c r="E9">
        <v>60</v>
      </c>
      <c r="F9">
        <v>3.1251181495942595E-2</v>
      </c>
      <c r="G9">
        <v>60</v>
      </c>
      <c r="H9">
        <v>3.8274830962016011E-2</v>
      </c>
      <c r="I9">
        <v>60</v>
      </c>
      <c r="J9">
        <v>5.1561102734081765E-2</v>
      </c>
    </row>
    <row r="10" spans="1:10" x14ac:dyDescent="0.3">
      <c r="A10">
        <v>70</v>
      </c>
      <c r="B10">
        <v>2.657723472286842E-2</v>
      </c>
      <c r="C10">
        <v>70</v>
      </c>
      <c r="D10">
        <v>2.9268416530223128E-2</v>
      </c>
      <c r="E10">
        <v>70</v>
      </c>
      <c r="F10">
        <v>3.4076241136013992E-2</v>
      </c>
      <c r="G10">
        <v>70</v>
      </c>
      <c r="H10">
        <v>4.2756246724450483E-2</v>
      </c>
      <c r="I10">
        <v>70</v>
      </c>
      <c r="J10">
        <v>5.831616763537003E-2</v>
      </c>
    </row>
    <row r="11" spans="1:10" x14ac:dyDescent="0.3">
      <c r="A11">
        <v>80</v>
      </c>
      <c r="B11">
        <v>2.7756349351225843E-2</v>
      </c>
      <c r="C11">
        <v>80</v>
      </c>
      <c r="D11">
        <v>3.1358775830370729E-2</v>
      </c>
      <c r="E11">
        <v>80</v>
      </c>
      <c r="F11">
        <v>3.7471931981119477E-2</v>
      </c>
      <c r="G11">
        <v>80</v>
      </c>
      <c r="H11">
        <v>4.795066749257651E-2</v>
      </c>
      <c r="I11">
        <v>80</v>
      </c>
      <c r="J11">
        <v>6.6013429400305135E-2</v>
      </c>
    </row>
    <row r="12" spans="1:10" x14ac:dyDescent="0.3">
      <c r="A12">
        <v>90</v>
      </c>
      <c r="B12">
        <v>2.9329430661093191E-2</v>
      </c>
      <c r="C12">
        <v>90</v>
      </c>
      <c r="D12">
        <v>3.3957673161185205E-2</v>
      </c>
      <c r="E12">
        <v>90</v>
      </c>
      <c r="F12">
        <v>4.150065704348576E-2</v>
      </c>
      <c r="G12">
        <v>90</v>
      </c>
      <c r="H12">
        <v>5.3937888224852751E-2</v>
      </c>
      <c r="I12">
        <v>90</v>
      </c>
      <c r="J12">
        <v>7.4766622262608967E-2</v>
      </c>
    </row>
    <row r="13" spans="1:10" x14ac:dyDescent="0.3">
      <c r="A13">
        <v>99.999999999999986</v>
      </c>
      <c r="B13">
        <v>3.135634035202356E-2</v>
      </c>
      <c r="C13">
        <v>99.999999999999986</v>
      </c>
      <c r="D13">
        <v>3.7126101781829811E-2</v>
      </c>
      <c r="E13">
        <v>99.999999999999986</v>
      </c>
      <c r="F13">
        <v>4.6230618070526155E-2</v>
      </c>
      <c r="G13">
        <v>99.999999999999986</v>
      </c>
      <c r="H13">
        <v>6.080772301422719E-2</v>
      </c>
      <c r="I13">
        <v>99.999999999999986</v>
      </c>
      <c r="J13">
        <v>8.4701809015496773E-2</v>
      </c>
    </row>
    <row r="14" spans="1:10" x14ac:dyDescent="0.3">
      <c r="A14">
        <v>110</v>
      </c>
      <c r="B14">
        <v>3.3898888347403094E-2</v>
      </c>
      <c r="C14">
        <v>110</v>
      </c>
      <c r="D14">
        <v>4.092841642107807E-2</v>
      </c>
      <c r="E14">
        <v>110</v>
      </c>
      <c r="F14">
        <v>5.173750503421469E-2</v>
      </c>
      <c r="G14">
        <v>110</v>
      </c>
      <c r="H14">
        <v>6.8660778217409832E-2</v>
      </c>
      <c r="I14">
        <v>110</v>
      </c>
      <c r="J14">
        <v>9.5957286509830125E-2</v>
      </c>
    </row>
    <row r="15" spans="1:10" x14ac:dyDescent="0.3">
      <c r="A15">
        <v>120</v>
      </c>
      <c r="B15">
        <v>3.7021279278696931E-2</v>
      </c>
      <c r="C15">
        <v>120</v>
      </c>
      <c r="D15">
        <v>4.543405515359087E-2</v>
      </c>
      <c r="E15">
        <v>120</v>
      </c>
      <c r="F15">
        <v>5.8105939963948056E-2</v>
      </c>
      <c r="G15">
        <v>120</v>
      </c>
      <c r="H15">
        <v>7.7608811295622263E-2</v>
      </c>
      <c r="I15">
        <v>120</v>
      </c>
      <c r="J15">
        <v>0.10868283822492841</v>
      </c>
    </row>
    <row r="16" spans="1:10" x14ac:dyDescent="0.3">
      <c r="A16">
        <v>130</v>
      </c>
      <c r="B16">
        <v>4.0791342494815655E-2</v>
      </c>
      <c r="C16">
        <v>130</v>
      </c>
      <c r="D16">
        <v>5.071935645346215E-2</v>
      </c>
      <c r="E16">
        <v>130</v>
      </c>
      <c r="F16">
        <v>6.5430493387148486E-2</v>
      </c>
      <c r="G16">
        <v>130</v>
      </c>
      <c r="H16">
        <v>8.7774531914875845E-2</v>
      </c>
      <c r="I16">
        <v>130</v>
      </c>
      <c r="J16">
        <v>0.12303808178682461</v>
      </c>
    </row>
    <row r="17" spans="1:10" x14ac:dyDescent="0.3">
      <c r="A17">
        <v>140</v>
      </c>
      <c r="B17">
        <v>4.5282225161054082E-2</v>
      </c>
      <c r="C17">
        <v>140</v>
      </c>
      <c r="D17">
        <v>5.6869109005043432E-2</v>
      </c>
      <c r="E17">
        <v>140</v>
      </c>
      <c r="F17">
        <v>7.3816105308065663E-2</v>
      </c>
      <c r="G17">
        <v>140</v>
      </c>
      <c r="H17">
        <v>9.9290654320177849E-2</v>
      </c>
      <c r="I17">
        <v>140</v>
      </c>
      <c r="J17">
        <v>0.1391896370081383</v>
      </c>
    </row>
    <row r="18" spans="1:10" x14ac:dyDescent="0.3">
      <c r="A18">
        <v>150</v>
      </c>
      <c r="B18">
        <v>5.057409019482436E-2</v>
      </c>
      <c r="C18">
        <v>150</v>
      </c>
      <c r="D18">
        <v>6.3977522350216226E-2</v>
      </c>
      <c r="E18">
        <v>150</v>
      </c>
      <c r="F18">
        <v>8.3377731841572114E-2</v>
      </c>
      <c r="G18">
        <v>150</v>
      </c>
      <c r="H18">
        <v>0.11229798169551761</v>
      </c>
      <c r="I18">
        <v>150</v>
      </c>
      <c r="J18">
        <v>0.1573068712902182</v>
      </c>
    </row>
    <row r="19" spans="1:10" x14ac:dyDescent="0.3">
      <c r="A19">
        <v>160</v>
      </c>
      <c r="B19">
        <v>5.6755357945559561E-2</v>
      </c>
      <c r="C19">
        <v>160</v>
      </c>
      <c r="D19">
        <v>7.2148362230604487E-2</v>
      </c>
      <c r="E19">
        <v>160</v>
      </c>
      <c r="F19">
        <v>9.4239032000773881E-2</v>
      </c>
      <c r="G19">
        <v>160</v>
      </c>
      <c r="H19">
        <v>0.12694232479834361</v>
      </c>
      <c r="I19">
        <v>160</v>
      </c>
      <c r="J19">
        <v>0.17755609997748428</v>
      </c>
    </row>
    <row r="20" spans="1:10" x14ac:dyDescent="0.3">
      <c r="A20">
        <v>170</v>
      </c>
      <c r="B20">
        <v>6.3923119121373356E-2</v>
      </c>
      <c r="C20">
        <v>170</v>
      </c>
      <c r="D20">
        <v>8.1494056128798828E-2</v>
      </c>
      <c r="E20">
        <v>170</v>
      </c>
      <c r="F20">
        <v>0.10652994602021701</v>
      </c>
      <c r="G20">
        <v>170</v>
      </c>
      <c r="H20">
        <v>0.14337016132445621</v>
      </c>
      <c r="I20">
        <v>170</v>
      </c>
      <c r="J20">
        <v>0.2000933574664096</v>
      </c>
    </row>
    <row r="21" spans="1:10" x14ac:dyDescent="0.3">
      <c r="A21">
        <v>180</v>
      </c>
      <c r="B21">
        <v>7.2182485841635502E-2</v>
      </c>
      <c r="C21">
        <v>180</v>
      </c>
      <c r="D21">
        <v>9.2133668783085099E-2</v>
      </c>
      <c r="E21">
        <v>180</v>
      </c>
      <c r="F21">
        <v>0.12038313017034691</v>
      </c>
      <c r="G21">
        <v>180</v>
      </c>
      <c r="H21">
        <v>0.16172314691190209</v>
      </c>
      <c r="I21">
        <v>180</v>
      </c>
      <c r="J21">
        <v>0.22505620370756088</v>
      </c>
    </row>
    <row r="22" spans="1:10" x14ac:dyDescent="0.3">
      <c r="A22">
        <v>190</v>
      </c>
      <c r="B22">
        <v>8.1644819757138956E-2</v>
      </c>
      <c r="C22">
        <v>190</v>
      </c>
      <c r="D22">
        <v>0.1041897961322676</v>
      </c>
      <c r="E22">
        <v>190</v>
      </c>
      <c r="F22">
        <v>0.13592940832134309</v>
      </c>
      <c r="G22">
        <v>190</v>
      </c>
      <c r="H22">
        <v>0.18213187113114432</v>
      </c>
      <c r="I22">
        <v>190</v>
      </c>
      <c r="J22">
        <v>0.25255542010798349</v>
      </c>
    </row>
    <row r="23" spans="1:10" x14ac:dyDescent="0.3">
      <c r="A23">
        <v>200</v>
      </c>
      <c r="B23">
        <v>9.2424966735354538E-2</v>
      </c>
      <c r="C23">
        <v>200</v>
      </c>
      <c r="D23">
        <v>0.1177846172965268</v>
      </c>
      <c r="E23">
        <v>200</v>
      </c>
      <c r="F23">
        <v>0.15329263609409649</v>
      </c>
      <c r="G23">
        <v>200</v>
      </c>
      <c r="H23">
        <v>0.2047095341028444</v>
      </c>
      <c r="I23">
        <v>200</v>
      </c>
      <c r="J23">
        <v>0.2826677415388848</v>
      </c>
    </row>
    <row r="24" spans="1:10" x14ac:dyDescent="0.3">
      <c r="A24">
        <v>210</v>
      </c>
      <c r="B24">
        <v>0.1046378039978804</v>
      </c>
      <c r="C24">
        <v>210</v>
      </c>
      <c r="D24">
        <v>0.13303552456809761</v>
      </c>
      <c r="E24">
        <v>210</v>
      </c>
      <c r="F24">
        <v>0.17258456544147929</v>
      </c>
      <c r="G24">
        <v>210</v>
      </c>
      <c r="H24">
        <v>0.2295463849053247</v>
      </c>
      <c r="I24">
        <v>210</v>
      </c>
      <c r="J24">
        <v>0.31543080970800896</v>
      </c>
    </row>
    <row r="25" spans="1:10" x14ac:dyDescent="0.3">
      <c r="A25">
        <v>220.00000000000011</v>
      </c>
      <c r="B25">
        <v>0.1183945194177925</v>
      </c>
      <c r="C25">
        <v>220.00000000000011</v>
      </c>
      <c r="D25">
        <v>0.15005085003142429</v>
      </c>
      <c r="E25">
        <v>220.00000000000011</v>
      </c>
      <c r="F25">
        <v>0.1939003571511593</v>
      </c>
      <c r="G25">
        <v>220.00000000000011</v>
      </c>
      <c r="H25">
        <v>0.25670571383497948</v>
      </c>
      <c r="I25">
        <v>220.00000000000011</v>
      </c>
      <c r="J25">
        <v>0.3508412300820431</v>
      </c>
    </row>
    <row r="26" spans="1:10" x14ac:dyDescent="0.3">
      <c r="A26">
        <v>230.00000000000009</v>
      </c>
      <c r="B26">
        <v>0.1337990570784075</v>
      </c>
      <c r="C26">
        <v>230.00000000000009</v>
      </c>
      <c r="D26">
        <v>0.1689261787253408</v>
      </c>
      <c r="E26">
        <v>230.00000000000009</v>
      </c>
      <c r="F26">
        <v>0.21731527584223481</v>
      </c>
      <c r="G26">
        <v>230.00000000000009</v>
      </c>
      <c r="H26">
        <v>0.28622191349309783</v>
      </c>
      <c r="I26">
        <v>230.00000000000009</v>
      </c>
      <c r="J26">
        <v>0.38885602824436361</v>
      </c>
    </row>
    <row r="27" spans="1:10" x14ac:dyDescent="0.3">
      <c r="A27">
        <v>240.00000000000011</v>
      </c>
      <c r="B27">
        <v>0.15094507916386501</v>
      </c>
      <c r="C27">
        <v>240.00000000000011</v>
      </c>
      <c r="D27">
        <v>0.18974159257694062</v>
      </c>
      <c r="E27">
        <v>240.00000000000011</v>
      </c>
      <c r="F27">
        <v>0.24288285429544879</v>
      </c>
      <c r="G27">
        <v>240.00000000000011</v>
      </c>
      <c r="H27">
        <v>0.31810071054261113</v>
      </c>
      <c r="I27">
        <v>240.00000000000011</v>
      </c>
      <c r="J27">
        <v>0.42939712861461621</v>
      </c>
    </row>
    <row r="28" spans="1:10" x14ac:dyDescent="0.3">
      <c r="A28">
        <v>250.00000000000011</v>
      </c>
      <c r="B28">
        <v>0.16991365152978</v>
      </c>
      <c r="C28">
        <v>250.00000000000011</v>
      </c>
      <c r="D28">
        <v>0.21255998654974131</v>
      </c>
      <c r="E28">
        <v>250.00000000000011</v>
      </c>
      <c r="F28">
        <v>0.2706345261926269</v>
      </c>
      <c r="G28">
        <v>250.00000000000011</v>
      </c>
      <c r="H28">
        <v>0.35232127030710486</v>
      </c>
      <c r="I28">
        <v>250.00000000000011</v>
      </c>
      <c r="J28">
        <v>0.47235795303583161</v>
      </c>
    </row>
    <row r="29" spans="1:10" x14ac:dyDescent="0.3">
      <c r="A29">
        <v>260.00000000000011</v>
      </c>
      <c r="B29">
        <v>0.19077171295707129</v>
      </c>
      <c r="C29">
        <v>260.00000000000011</v>
      </c>
      <c r="D29">
        <v>0.23742641092654432</v>
      </c>
      <c r="E29">
        <v>260.00000000000011</v>
      </c>
      <c r="F29">
        <v>0.30058049538622222</v>
      </c>
      <c r="G29">
        <v>260.00000000000011</v>
      </c>
      <c r="H29">
        <v>0.38883961550916868</v>
      </c>
      <c r="I29">
        <v>260.00000000000011</v>
      </c>
      <c r="J29">
        <v>0.5176110085791058</v>
      </c>
    </row>
    <row r="30" spans="1:10" x14ac:dyDescent="0.3">
      <c r="A30">
        <v>270.00000000000006</v>
      </c>
      <c r="B30">
        <v>0.21357127637551079</v>
      </c>
      <c r="C30">
        <v>270.00000000000006</v>
      </c>
      <c r="D30">
        <v>0.26436826931182633</v>
      </c>
      <c r="E30">
        <v>270.00000000000006</v>
      </c>
      <c r="F30">
        <v>0.3327114881964171</v>
      </c>
      <c r="G30">
        <v>270.00000000000006</v>
      </c>
      <c r="H30">
        <v>0.42759272433922146</v>
      </c>
      <c r="I30">
        <v>270.00000000000006</v>
      </c>
      <c r="J30">
        <v>0.56501541094972918</v>
      </c>
    </row>
    <row r="31" spans="1:10" x14ac:dyDescent="0.3">
      <c r="A31">
        <v>280.00000000000006</v>
      </c>
      <c r="B31">
        <v>0.2383492481978354</v>
      </c>
      <c r="C31">
        <v>280.00000000000006</v>
      </c>
      <c r="D31">
        <v>0.29339615110861689</v>
      </c>
      <c r="E31">
        <v>280.00000000000006</v>
      </c>
      <c r="F31">
        <v>0.36700102107274546</v>
      </c>
      <c r="G31">
        <v>280.00000000000006</v>
      </c>
      <c r="H31">
        <v>0.46850274938249548</v>
      </c>
      <c r="I31">
        <v>280.00000000000006</v>
      </c>
      <c r="J31">
        <v>0.61442356972895573</v>
      </c>
    </row>
    <row r="32" spans="1:10" x14ac:dyDescent="0.3">
      <c r="A32">
        <v>290.00000000000011</v>
      </c>
      <c r="B32">
        <v>0.26512773213856961</v>
      </c>
      <c r="C32">
        <v>290.00000000000011</v>
      </c>
      <c r="D32">
        <v>0.32450508290792451</v>
      </c>
      <c r="E32">
        <v>290.00000000000011</v>
      </c>
      <c r="F32">
        <v>0.40340787340592771</v>
      </c>
      <c r="G32">
        <v>290.00000000000011</v>
      </c>
      <c r="H32">
        <v>0.51148095665399296</v>
      </c>
      <c r="I32">
        <v>290.00000000000011</v>
      </c>
      <c r="J32">
        <v>0.66568660812950287</v>
      </c>
    </row>
    <row r="33" spans="1:10" x14ac:dyDescent="0.3">
      <c r="A33">
        <v>300.00000000000011</v>
      </c>
      <c r="B33">
        <v>0.29391469066691556</v>
      </c>
      <c r="C33">
        <v>300.00000000000011</v>
      </c>
      <c r="D33">
        <v>0.35767601948273298</v>
      </c>
      <c r="E33">
        <v>300.00000000000011</v>
      </c>
      <c r="F33">
        <v>0.44187854208116029</v>
      </c>
      <c r="G33">
        <v>300.00000000000011</v>
      </c>
      <c r="H33">
        <v>0.55643115520100606</v>
      </c>
      <c r="I33">
        <v>300.00000000000011</v>
      </c>
      <c r="J33">
        <v>0.71865839657313568</v>
      </c>
    </row>
    <row r="34" spans="1:10" x14ac:dyDescent="0.3">
      <c r="A34">
        <v>310.00000000000011</v>
      </c>
      <c r="B34">
        <v>0.32470485595108006</v>
      </c>
      <c r="C34">
        <v>310.00000000000011</v>
      </c>
      <c r="D34">
        <v>0.39287744028991217</v>
      </c>
      <c r="E34">
        <v>310.00000000000011</v>
      </c>
      <c r="F34">
        <v>0.48234953940923581</v>
      </c>
      <c r="G34">
        <v>310.00000000000011</v>
      </c>
      <c r="H34">
        <v>0.60325252978587551</v>
      </c>
      <c r="I34">
        <v>310.00000000000011</v>
      </c>
      <c r="J34">
        <v>0.77319829399107576</v>
      </c>
    </row>
    <row r="35" spans="1:10" x14ac:dyDescent="0.3">
      <c r="A35">
        <v>320.00000000000011</v>
      </c>
      <c r="B35">
        <v>0.3574808033877635</v>
      </c>
      <c r="C35">
        <v>320.00000000000011</v>
      </c>
      <c r="D35">
        <v>0.43006695886561147</v>
      </c>
      <c r="E35">
        <v>320.00000000000011</v>
      </c>
      <c r="F35">
        <v>0.52474946373591891</v>
      </c>
      <c r="G35">
        <v>320.00000000000011</v>
      </c>
      <c r="H35">
        <v>0.65184188632206963</v>
      </c>
      <c r="I35">
        <v>320.00000000000011</v>
      </c>
      <c r="J35">
        <v>0.82917280745980471</v>
      </c>
    </row>
    <row r="36" spans="1:10" x14ac:dyDescent="0.3">
      <c r="A36">
        <v>330.00000000000011</v>
      </c>
      <c r="B36">
        <v>0.39221412009814571</v>
      </c>
      <c r="C36">
        <v>330.00000000000011</v>
      </c>
      <c r="D36">
        <v>0.46919288527044017</v>
      </c>
      <c r="E36">
        <v>330.00000000000011</v>
      </c>
      <c r="F36">
        <v>0.56900081863704832</v>
      </c>
      <c r="G36">
        <v>330.00000000000011</v>
      </c>
      <c r="H36">
        <v>0.70209537437052527</v>
      </c>
      <c r="I36">
        <v>330.00000000000011</v>
      </c>
      <c r="J36">
        <v>0.88645641972385469</v>
      </c>
    </row>
    <row r="37" spans="1:10" x14ac:dyDescent="0.3">
      <c r="A37">
        <v>340.00000000000006</v>
      </c>
      <c r="B37">
        <v>0.42886661674275189</v>
      </c>
      <c r="C37">
        <v>340.00000000000006</v>
      </c>
      <c r="D37">
        <v>0.51019570541947556</v>
      </c>
      <c r="E37">
        <v>340.00000000000006</v>
      </c>
      <c r="F37">
        <v>0.61502158490421832</v>
      </c>
      <c r="G37">
        <v>340.00000000000006</v>
      </c>
      <c r="H37">
        <v>0.75390977355440048</v>
      </c>
      <c r="I37">
        <v>340.00000000000006</v>
      </c>
      <c r="J37">
        <v>0.94493182303594037</v>
      </c>
    </row>
    <row r="38" spans="1:10" x14ac:dyDescent="0.3">
      <c r="A38">
        <v>350.00000000000011</v>
      </c>
      <c r="B38">
        <v>0.46739154374267905</v>
      </c>
      <c r="C38">
        <v>350.00000000000011</v>
      </c>
      <c r="D38">
        <v>0.55300945729016737</v>
      </c>
      <c r="E38">
        <v>350.00000000000011</v>
      </c>
      <c r="F38">
        <v>0.66272656440082267</v>
      </c>
      <c r="G38">
        <v>350.00000000000011</v>
      </c>
      <c r="H38">
        <v>0.80718343283651084</v>
      </c>
      <c r="I38">
        <v>350.00000000000011</v>
      </c>
      <c r="J38">
        <v>1.0044897610599202</v>
      </c>
    </row>
    <row r="39" spans="1:10" x14ac:dyDescent="0.3">
      <c r="A39">
        <v>360.00000000000023</v>
      </c>
      <c r="B39">
        <v>0.5077347830280915</v>
      </c>
      <c r="C39">
        <v>360.00000000000023</v>
      </c>
      <c r="D39">
        <v>0.59756299460835371</v>
      </c>
      <c r="E39">
        <v>360.00000000000023</v>
      </c>
      <c r="F39">
        <v>0.71202852100623881</v>
      </c>
      <c r="G39">
        <v>360.00000000000023</v>
      </c>
      <c r="H39">
        <v>0.86181694270683373</v>
      </c>
      <c r="I39">
        <v>360.00000000000023</v>
      </c>
      <c r="J39">
        <v>1.0650286356217962</v>
      </c>
    </row>
    <row r="40" spans="1:10" x14ac:dyDescent="0.3">
      <c r="A40">
        <v>370.00000000000023</v>
      </c>
      <c r="B40">
        <v>0.54983599432042607</v>
      </c>
      <c r="C40">
        <v>370.00000000000023</v>
      </c>
      <c r="D40">
        <v>0.6437811353724624</v>
      </c>
      <c r="E40">
        <v>370.00000000000023</v>
      </c>
      <c r="F40">
        <v>0.7628391448757329</v>
      </c>
      <c r="G40">
        <v>370.00000000000023</v>
      </c>
      <c r="H40">
        <v>0.91771360694391857</v>
      </c>
      <c r="I40">
        <v>370.00000000000023</v>
      </c>
      <c r="J40">
        <v>1.1264539920266941</v>
      </c>
    </row>
    <row r="41" spans="1:10" x14ac:dyDescent="0.3">
      <c r="A41">
        <v>380.00000000000023</v>
      </c>
      <c r="B41">
        <v>0.59362970113092217</v>
      </c>
      <c r="C41">
        <v>380.00000000000023</v>
      </c>
      <c r="D41">
        <v>0.69158569675213022</v>
      </c>
      <c r="E41">
        <v>380.00000000000023</v>
      </c>
      <c r="F41">
        <v>0.81506986456667385</v>
      </c>
      <c r="G41">
        <v>380.00000000000023</v>
      </c>
      <c r="H41">
        <v>0.97477976660433374</v>
      </c>
      <c r="I41">
        <v>380.00000000000023</v>
      </c>
      <c r="J41">
        <v>1.188677960274894</v>
      </c>
    </row>
    <row r="42" spans="1:10" x14ac:dyDescent="0.3">
      <c r="A42">
        <v>390.00000000000017</v>
      </c>
      <c r="B42">
        <v>0.63904630632291015</v>
      </c>
      <c r="C42">
        <v>390.00000000000017</v>
      </c>
      <c r="D42">
        <v>0.74089642024358859</v>
      </c>
      <c r="E42">
        <v>390.00000000000017</v>
      </c>
      <c r="F42">
        <v>0.86863252861463514</v>
      </c>
      <c r="G42">
        <v>390.00000000000017</v>
      </c>
      <c r="H42">
        <v>1.0329250161203418</v>
      </c>
      <c r="I42">
        <v>390.00000000000017</v>
      </c>
      <c r="J42">
        <v>1.2516187010868491</v>
      </c>
    </row>
    <row r="43" spans="1:10" x14ac:dyDescent="0.3">
      <c r="A43">
        <v>400.00000000000017</v>
      </c>
      <c r="B43">
        <v>0.68601302860120439</v>
      </c>
      <c r="C43">
        <v>400.00000000000017</v>
      </c>
      <c r="D43">
        <v>0.79163179035356268</v>
      </c>
      <c r="E43">
        <v>400.00000000000017</v>
      </c>
      <c r="F43">
        <v>0.92343997318642768</v>
      </c>
      <c r="G43">
        <v>400.00000000000017</v>
      </c>
      <c r="H43">
        <v>1.092062339186552</v>
      </c>
      <c r="I43">
        <v>400.00000000000017</v>
      </c>
      <c r="J43">
        <v>1.3151998833814431</v>
      </c>
    </row>
    <row r="44" spans="1:10" x14ac:dyDescent="0.3">
      <c r="A44">
        <v>410.00000000000017</v>
      </c>
      <c r="B44">
        <v>0.73445475237999658</v>
      </c>
      <c r="C44">
        <v>410.00000000000017</v>
      </c>
      <c r="D44">
        <v>0.84370974943531629</v>
      </c>
      <c r="E44">
        <v>410.00000000000017</v>
      </c>
      <c r="F44">
        <v>0.97940648860005464</v>
      </c>
      <c r="G44">
        <v>410.00000000000017</v>
      </c>
      <c r="H44">
        <v>1.1521081835709721</v>
      </c>
      <c r="I44">
        <v>410.00000000000017</v>
      </c>
      <c r="J44">
        <v>1.379350206081416</v>
      </c>
    </row>
    <row r="45" spans="1:10" x14ac:dyDescent="0.3">
      <c r="A45">
        <v>420.00000000000023</v>
      </c>
      <c r="B45">
        <v>0.78429482646521675</v>
      </c>
      <c r="C45">
        <v>420.00000000000023</v>
      </c>
      <c r="D45">
        <v>0.89704834740146155</v>
      </c>
      <c r="E45">
        <v>420.00000000000023</v>
      </c>
      <c r="F45">
        <v>1.0364482260429499</v>
      </c>
      <c r="G45">
        <v>420.00000000000023</v>
      </c>
      <c r="H45">
        <v>1.2129825144116551</v>
      </c>
      <c r="I45">
        <v>420.00000000000023</v>
      </c>
      <c r="J45">
        <v>1.4440029899185609</v>
      </c>
    </row>
    <row r="46" spans="1:10" x14ac:dyDescent="0.3">
      <c r="A46">
        <v>430.00000000000023</v>
      </c>
      <c r="B46">
        <v>0.83545577301368967</v>
      </c>
      <c r="C46">
        <v>430.00000000000023</v>
      </c>
      <c r="D46">
        <v>0.95156629755433653</v>
      </c>
      <c r="E46">
        <v>430.00000000000023</v>
      </c>
      <c r="F46">
        <v>1.0944835233407719</v>
      </c>
      <c r="G46">
        <v>430.00000000000023</v>
      </c>
      <c r="H46">
        <v>1.274608827056718</v>
      </c>
      <c r="I46">
        <v>430.00000000000023</v>
      </c>
      <c r="J46">
        <v>1.5090958108976631</v>
      </c>
    </row>
    <row r="47" spans="1:10" x14ac:dyDescent="0.3">
      <c r="A47">
        <v>440.00000000000023</v>
      </c>
      <c r="B47">
        <v>0.88785989614586414</v>
      </c>
      <c r="C47">
        <v>440.00000000000023</v>
      </c>
      <c r="D47">
        <v>1.0071834354382641</v>
      </c>
      <c r="E47">
        <v>440.00000000000023</v>
      </c>
      <c r="F47">
        <v>1.1534331525226531</v>
      </c>
      <c r="G47">
        <v>440.00000000000023</v>
      </c>
      <c r="H47">
        <v>1.336914123711348</v>
      </c>
      <c r="I47">
        <v>440.00000000000023</v>
      </c>
      <c r="J47">
        <v>1.5745701721171161</v>
      </c>
    </row>
    <row r="48" spans="1:10" x14ac:dyDescent="0.3">
      <c r="A48">
        <v>450.00000000000017</v>
      </c>
      <c r="B48">
        <v>0.94142982700592182</v>
      </c>
      <c r="C48">
        <v>450.00000000000017</v>
      </c>
      <c r="D48">
        <v>1.0638211158926538</v>
      </c>
      <c r="E48">
        <v>450.00000000000017</v>
      </c>
      <c r="F48">
        <v>1.2132205209989761</v>
      </c>
      <c r="G48">
        <v>450.00000000000017</v>
      </c>
      <c r="H48">
        <v>1.3998288782421571</v>
      </c>
      <c r="I48">
        <v>450.00000000000017</v>
      </c>
      <c r="J48">
        <v>1.6403712228226099</v>
      </c>
    </row>
    <row r="49" spans="1:10" x14ac:dyDescent="0.3">
      <c r="A49">
        <v>460.00000000000017</v>
      </c>
      <c r="B49">
        <v>0.99608900028529734</v>
      </c>
      <c r="C49">
        <v>460.00000000000017</v>
      </c>
      <c r="D49">
        <v>1.1214025469669691</v>
      </c>
      <c r="E49">
        <v>460.00000000000017</v>
      </c>
      <c r="F49">
        <v>1.2737718266367781</v>
      </c>
      <c r="G49">
        <v>460.00000000000017</v>
      </c>
      <c r="H49">
        <v>1.46328698723902</v>
      </c>
      <c r="I49">
        <v>460.00000000000017</v>
      </c>
      <c r="J49">
        <v>1.7064475140512929</v>
      </c>
    </row>
    <row r="50" spans="1:10" x14ac:dyDescent="0.3">
      <c r="A50">
        <v>470.00000000000028</v>
      </c>
      <c r="B50">
        <v>1.0517620642818879</v>
      </c>
      <c r="C50">
        <v>470.00000000000028</v>
      </c>
      <c r="D50">
        <v>1.179853064877793</v>
      </c>
      <c r="E50">
        <v>470.00000000000028</v>
      </c>
      <c r="F50">
        <v>1.3350161711948061</v>
      </c>
      <c r="G50">
        <v>470.00000000000028</v>
      </c>
      <c r="H50">
        <v>1.52722570884229</v>
      </c>
      <c r="I50">
        <v>470.00000000000028</v>
      </c>
      <c r="J50">
        <v>1.772750784185549</v>
      </c>
    </row>
    <row r="51" spans="1:10" x14ac:dyDescent="0.3">
      <c r="A51">
        <v>480.00000000000034</v>
      </c>
      <c r="B51">
        <v>1.108375228898645</v>
      </c>
      <c r="C51">
        <v>480.00000000000034</v>
      </c>
      <c r="D51">
        <v>1.2391003555932241</v>
      </c>
      <c r="E51">
        <v>480.00000000000034</v>
      </c>
      <c r="F51">
        <v>1.396885637234935</v>
      </c>
      <c r="G51">
        <v>480.00000000000034</v>
      </c>
      <c r="H51">
        <v>1.5915855912602279</v>
      </c>
      <c r="I51">
        <v>480.00000000000034</v>
      </c>
      <c r="J51">
        <v>1.8392357690440941</v>
      </c>
    </row>
    <row r="52" spans="1:10" x14ac:dyDescent="0.3">
      <c r="A52">
        <v>490.00000000000034</v>
      </c>
      <c r="B52">
        <v>1.1658565563175329</v>
      </c>
      <c r="C52">
        <v>490.00000000000034</v>
      </c>
      <c r="D52">
        <v>1.299074628469028</v>
      </c>
      <c r="E52">
        <v>490.00000000000034</v>
      </c>
      <c r="F52">
        <v>1.459315333153157</v>
      </c>
      <c r="G52">
        <v>490.00000000000034</v>
      </c>
      <c r="H52">
        <v>1.6563103925742459</v>
      </c>
      <c r="I52">
        <v>490.00000000000034</v>
      </c>
      <c r="J52">
        <v>1.905860031891486</v>
      </c>
    </row>
    <row r="53" spans="1:10" x14ac:dyDescent="0.3">
      <c r="A53">
        <v>500.00000000000023</v>
      </c>
      <c r="B53">
        <v>1.2241361991672151</v>
      </c>
      <c r="C53">
        <v>500.00000000000023</v>
      </c>
      <c r="D53">
        <v>1.359708747075435</v>
      </c>
      <c r="E53">
        <v>500.00000000000023</v>
      </c>
      <c r="F53">
        <v>1.5222434105029561</v>
      </c>
      <c r="G53">
        <v>500.00000000000023</v>
      </c>
      <c r="H53">
        <v>1.7213469931824881</v>
      </c>
      <c r="I53">
        <v>500.00000000000023</v>
      </c>
      <c r="J53">
        <v>1.9725838094859651</v>
      </c>
    </row>
    <row r="54" spans="1:10" x14ac:dyDescent="0.3">
      <c r="A54">
        <v>510.00000000000023</v>
      </c>
      <c r="B54">
        <v>1.283146590978375</v>
      </c>
      <c r="C54">
        <v>510.00000000000023</v>
      </c>
      <c r="D54">
        <v>1.4209383220473022</v>
      </c>
      <c r="E54">
        <v>510.00000000000023</v>
      </c>
      <c r="F54">
        <v>1.58561105737307</v>
      </c>
      <c r="G54">
        <v>510.00000000000023</v>
      </c>
      <c r="H54">
        <v>1.786645302070591</v>
      </c>
      <c r="I54">
        <v>510.00000000000023</v>
      </c>
      <c r="J54">
        <v>2.039369870986905</v>
      </c>
    </row>
    <row r="55" spans="1:10" x14ac:dyDescent="0.3">
      <c r="A55">
        <v>520.00000000000023</v>
      </c>
      <c r="B55">
        <v>1.3428225936194711</v>
      </c>
      <c r="C55">
        <v>520.00000000000023</v>
      </c>
      <c r="D55">
        <v>1.482701770476285</v>
      </c>
      <c r="E55">
        <v>520.00000000000023</v>
      </c>
      <c r="F55">
        <v>1.649362471219642</v>
      </c>
      <c r="G55">
        <v>520.00000000000023</v>
      </c>
      <c r="H55">
        <v>1.8521581579907471</v>
      </c>
      <c r="I55">
        <v>520.00000000000023</v>
      </c>
      <c r="J55">
        <v>2.1061833871755793</v>
      </c>
    </row>
    <row r="56" spans="1:10" x14ac:dyDescent="0.3">
      <c r="A56">
        <v>530.00000000000023</v>
      </c>
      <c r="B56">
        <v>1.4031016062458721</v>
      </c>
      <c r="C56">
        <v>530.00000000000023</v>
      </c>
      <c r="D56">
        <v>1.5449403460464699</v>
      </c>
      <c r="E56">
        <v>530.00000000000023</v>
      </c>
      <c r="F56">
        <v>1.7134448142283389</v>
      </c>
      <c r="G56">
        <v>530.00000000000023</v>
      </c>
      <c r="H56">
        <v>1.9178412265520901</v>
      </c>
      <c r="I56">
        <v>530.00000000000023</v>
      </c>
      <c r="J56">
        <v>2.1729918079915858</v>
      </c>
    </row>
    <row r="57" spans="1:10" x14ac:dyDescent="0.3">
      <c r="A57">
        <v>540.00000000000023</v>
      </c>
      <c r="B57">
        <v>1.4639236400911859</v>
      </c>
      <c r="C57">
        <v>540.00000000000023</v>
      </c>
      <c r="D57">
        <v>1.607598143798308</v>
      </c>
      <c r="E57">
        <v>540.00000000000023</v>
      </c>
      <c r="F57">
        <v>1.777808153986659</v>
      </c>
      <c r="G57">
        <v>540.00000000000023</v>
      </c>
      <c r="H57">
        <v>1.983652894161672</v>
      </c>
      <c r="I57">
        <v>540.00000000000023</v>
      </c>
      <c r="J57">
        <v>2.239764746849187</v>
      </c>
    </row>
    <row r="58" spans="1:10" x14ac:dyDescent="0.3">
      <c r="A58">
        <v>550.00000000000023</v>
      </c>
      <c r="B58">
        <v>1.525231363193843</v>
      </c>
      <c r="C58">
        <v>550.00000000000023</v>
      </c>
      <c r="D58">
        <v>1.6706220830934559</v>
      </c>
      <c r="E58">
        <v>550.00000000000023</v>
      </c>
      <c r="F58">
        <v>1.8424053919750629</v>
      </c>
      <c r="G58">
        <v>550.00000000000023</v>
      </c>
      <c r="H58">
        <v>2.049554159697327</v>
      </c>
      <c r="I58">
        <v>550.00000000000023</v>
      </c>
      <c r="J58">
        <v>2.3064738705775039</v>
      </c>
    </row>
    <row r="59" spans="1:10" x14ac:dyDescent="0.3">
      <c r="A59">
        <v>560.00000000000023</v>
      </c>
      <c r="B59">
        <v>1.5869701188958321</v>
      </c>
      <c r="C59">
        <v>560.00000000000023</v>
      </c>
      <c r="D59">
        <v>1.7339618720489549</v>
      </c>
      <c r="E59">
        <v>560.00000000000023</v>
      </c>
      <c r="F59">
        <v>1.9071921821348878</v>
      </c>
      <c r="G59">
        <v>560.00000000000023</v>
      </c>
      <c r="H59">
        <v>2.115508524736406</v>
      </c>
      <c r="I59">
        <v>560.00000000000023</v>
      </c>
      <c r="J59">
        <v>2.3730927941341249</v>
      </c>
    </row>
    <row r="60" spans="1:10" x14ac:dyDescent="0.3">
      <c r="A60">
        <v>570.00000000000023</v>
      </c>
      <c r="B60">
        <v>1.649087921683323</v>
      </c>
      <c r="C60">
        <v>570.00000000000023</v>
      </c>
      <c r="D60">
        <v>1.7975699564163239</v>
      </c>
      <c r="E60">
        <v>570.00000000000023</v>
      </c>
      <c r="F60">
        <v>1.9721268415390159</v>
      </c>
      <c r="G60">
        <v>570.00000000000023</v>
      </c>
      <c r="H60">
        <v>2.1814818831064682</v>
      </c>
      <c r="I60">
        <v>570.00000000000023</v>
      </c>
      <c r="J60">
        <v>2.4395969794828232</v>
      </c>
    </row>
    <row r="61" spans="1:10" x14ac:dyDescent="0.3">
      <c r="A61">
        <v>580.00000000000034</v>
      </c>
      <c r="B61">
        <v>1.711535433667591</v>
      </c>
      <c r="C61">
        <v>580.00000000000034</v>
      </c>
      <c r="D61">
        <v>1.8614014556016889</v>
      </c>
      <c r="E61">
        <v>580.00000000000034</v>
      </c>
      <c r="F61">
        <v>2.0371702549768598</v>
      </c>
      <c r="G61">
        <v>580.00000000000034</v>
      </c>
      <c r="H61">
        <v>2.2474424104641129</v>
      </c>
      <c r="I61">
        <v>580.00000000000034</v>
      </c>
      <c r="J61">
        <v>2.5059636382127697</v>
      </c>
    </row>
    <row r="62" spans="1:10" x14ac:dyDescent="0.3">
      <c r="A62">
        <v>590.00000000000034</v>
      </c>
      <c r="B62">
        <v>1.774265924733915</v>
      </c>
      <c r="C62">
        <v>590.00000000000034</v>
      </c>
      <c r="D62">
        <v>1.9254140882575561</v>
      </c>
      <c r="E62">
        <v>590.00000000000034</v>
      </c>
      <c r="F62">
        <v>2.10228577506623</v>
      </c>
      <c r="G62">
        <v>590.00000000000034</v>
      </c>
      <c r="H62">
        <v>2.3133604545465891</v>
      </c>
      <c r="I62">
        <v>590.00000000000034</v>
      </c>
      <c r="J62">
        <v>2.572171637617541</v>
      </c>
    </row>
    <row r="63" spans="1:10" x14ac:dyDescent="0.3">
      <c r="A63">
        <v>600.00000000000034</v>
      </c>
      <c r="B63">
        <v>1.837235219115819</v>
      </c>
      <c r="C63">
        <v>600.00000000000034</v>
      </c>
      <c r="D63">
        <v>1.9895680896226611</v>
      </c>
      <c r="E63">
        <v>600.00000000000034</v>
      </c>
      <c r="F63">
        <v>2.167439119317732</v>
      </c>
      <c r="G63">
        <v>600.00000000000034</v>
      </c>
      <c r="H63">
        <v>2.3792084266764508</v>
      </c>
      <c r="I63">
        <v>600.00000000000034</v>
      </c>
      <c r="J63">
        <v>2.6382014100557041</v>
      </c>
    </row>
    <row r="64" spans="1:10" x14ac:dyDescent="0.3">
      <c r="A64">
        <v>610.00000000000034</v>
      </c>
      <c r="B64">
        <v>1.900401630880419</v>
      </c>
      <c r="C64">
        <v>610.00000000000034</v>
      </c>
      <c r="D64">
        <v>2.0538261225400891</v>
      </c>
      <c r="E64">
        <v>610.00000000000034</v>
      </c>
      <c r="F64">
        <v>2.232598265398845</v>
      </c>
      <c r="G64">
        <v>610.00000000000034</v>
      </c>
      <c r="H64">
        <v>2.4449606950318481</v>
      </c>
      <c r="I64">
        <v>610.00000000000034</v>
      </c>
      <c r="J64">
        <v>2.7040348654871629</v>
      </c>
    </row>
    <row r="65" spans="1:10" x14ac:dyDescent="0.3">
      <c r="A65">
        <v>620.00000000000034</v>
      </c>
      <c r="B65">
        <v>1.963725890536457</v>
      </c>
      <c r="C65">
        <v>620.00000000000034</v>
      </c>
      <c r="D65">
        <v>2.1181531838425514</v>
      </c>
      <c r="E65">
        <v>620.00000000000034</v>
      </c>
      <c r="F65">
        <v>2.2977333456718139</v>
      </c>
      <c r="G65">
        <v>620.00000000000034</v>
      </c>
      <c r="H65">
        <v>2.5105934801233531</v>
      </c>
      <c r="I65">
        <v>620.00000000000034</v>
      </c>
      <c r="J65">
        <v>2.7696553071267784</v>
      </c>
    </row>
    <row r="66" spans="1:10" x14ac:dyDescent="0.3">
      <c r="A66">
        <v>630.00000000000034</v>
      </c>
      <c r="B66">
        <v>2.0271710647064101</v>
      </c>
      <c r="C66">
        <v>630.00000000000034</v>
      </c>
      <c r="D66">
        <v>2.1825165075615689</v>
      </c>
      <c r="E66">
        <v>630.00000000000034</v>
      </c>
      <c r="F66">
        <v>2.3628165419148441</v>
      </c>
      <c r="G66">
        <v>630.00000000000034</v>
      </c>
      <c r="H66">
        <v>2.5760847528463309</v>
      </c>
      <c r="I66">
        <v>630.00000000000034</v>
      </c>
      <c r="J66">
        <v>2.8350473501854307</v>
      </c>
    </row>
    <row r="67" spans="1:10" x14ac:dyDescent="0.3">
      <c r="A67">
        <v>640.00000000000034</v>
      </c>
      <c r="B67">
        <v>2.0907024705529351</v>
      </c>
      <c r="C67">
        <v>640.00000000000034</v>
      </c>
      <c r="D67">
        <v>2.2468854662062308</v>
      </c>
      <c r="E67">
        <v>640.00000000000034</v>
      </c>
      <c r="F67">
        <v>2.4278219809880599</v>
      </c>
      <c r="G67">
        <v>640.00000000000034</v>
      </c>
      <c r="H67">
        <v>2.6414141354106189</v>
      </c>
      <c r="I67">
        <v>640.00000000000034</v>
      </c>
      <c r="J67">
        <v>2.9001968436844652</v>
      </c>
    </row>
    <row r="68" spans="1:10" x14ac:dyDescent="0.3">
      <c r="A68">
        <v>650.00000000000034</v>
      </c>
      <c r="B68">
        <v>2.1542875864334792</v>
      </c>
      <c r="C68">
        <v>650.00000000000034</v>
      </c>
      <c r="D68">
        <v>2.3112314711777522</v>
      </c>
      <c r="E68">
        <v>650.00000000000034</v>
      </c>
      <c r="F68">
        <v>2.4927256320811981</v>
      </c>
      <c r="G68">
        <v>650.00000000000034</v>
      </c>
      <c r="H68">
        <v>2.7065628053920721</v>
      </c>
      <c r="I68">
        <v>650.00000000000034</v>
      </c>
      <c r="J68">
        <v>2.9650907953373031</v>
      </c>
    </row>
    <row r="69" spans="1:10" x14ac:dyDescent="0.3">
      <c r="A69">
        <v>660.00000000000034</v>
      </c>
      <c r="B69">
        <v>2.2178959600717416</v>
      </c>
      <c r="C69">
        <v>660.00000000000034</v>
      </c>
      <c r="D69">
        <v>2.3755278732347742</v>
      </c>
      <c r="E69">
        <v>660.00000000000034</v>
      </c>
      <c r="F69">
        <v>2.55750520607562</v>
      </c>
      <c r="G69">
        <v>660.00000000000034</v>
      </c>
      <c r="H69">
        <v>2.7715134031010678</v>
      </c>
      <c r="I69">
        <v>660.00000000000034</v>
      </c>
      <c r="J69">
        <v>3.0297172994937371</v>
      </c>
    </row>
    <row r="70" spans="1:10" x14ac:dyDescent="0.3">
      <c r="A70">
        <v>670.00000000000034</v>
      </c>
      <c r="B70">
        <v>2.2814991153658291</v>
      </c>
      <c r="C70">
        <v>670.00000000000034</v>
      </c>
      <c r="D70">
        <v>2.439749863787799</v>
      </c>
      <c r="E70">
        <v>670.00000000000034</v>
      </c>
      <c r="F70">
        <v>2.6221400574593576</v>
      </c>
      <c r="G70">
        <v>670.00000000000034</v>
      </c>
      <c r="H70">
        <v>2.8362499424170924</v>
      </c>
      <c r="I70">
        <v>670.00000000000034</v>
      </c>
      <c r="J70">
        <v>3.0940654681384951</v>
      </c>
    </row>
    <row r="71" spans="1:10" x14ac:dyDescent="0.3">
      <c r="A71">
        <v>680.00000000000034</v>
      </c>
      <c r="B71">
        <v>2.345070458792601</v>
      </c>
      <c r="C71">
        <v>680.00000000000034</v>
      </c>
      <c r="D71">
        <v>2.5038743776734207</v>
      </c>
      <c r="E71">
        <v>680.00000000000034</v>
      </c>
      <c r="F71">
        <v>2.6866110891466279</v>
      </c>
      <c r="G71">
        <v>680.00000000000034</v>
      </c>
      <c r="H71">
        <v>2.9007577251945933</v>
      </c>
      <c r="I71">
        <v>680.00000000000034</v>
      </c>
      <c r="J71">
        <v>3.1581253649281358</v>
      </c>
    </row>
    <row r="72" spans="1:10" x14ac:dyDescent="0.3">
      <c r="A72">
        <v>690.00000000000034</v>
      </c>
      <c r="B72">
        <v>2.4085851862195122</v>
      </c>
      <c r="C72">
        <v>690.00000000000034</v>
      </c>
      <c r="D72">
        <v>2.5678799979427147</v>
      </c>
      <c r="E72">
        <v>690.00000000000034</v>
      </c>
      <c r="F72">
        <v>2.7509006604746222</v>
      </c>
      <c r="G72">
        <v>690.00000000000034</v>
      </c>
      <c r="H72">
        <v>2.9650232593053882</v>
      </c>
      <c r="I72">
        <v>690.00000000000034</v>
      </c>
      <c r="J72">
        <v>3.2218879422403219</v>
      </c>
    </row>
    <row r="73" spans="1:10" x14ac:dyDescent="0.3">
      <c r="A73">
        <v>700.00000000000045</v>
      </c>
      <c r="B73">
        <v>2.4720201908015991</v>
      </c>
      <c r="C73">
        <v>700.00000000000045</v>
      </c>
      <c r="D73">
        <v>2.631746863094472</v>
      </c>
      <c r="E73">
        <v>700.00000000000045</v>
      </c>
      <c r="F73">
        <v>2.814992498580883</v>
      </c>
      <c r="G73">
        <v>700.00000000000045</v>
      </c>
      <c r="H73">
        <v>3.0290341803472112</v>
      </c>
      <c r="I73">
        <v>700.00000000000045</v>
      </c>
      <c r="J73">
        <v>3.2853449811989557</v>
      </c>
    </row>
    <row r="74" spans="1:10" x14ac:dyDescent="0.3">
      <c r="A74">
        <v>710.00000000000045</v>
      </c>
      <c r="B74">
        <v>2.5353539725221479</v>
      </c>
      <c r="C74">
        <v>710.00000000000045</v>
      </c>
      <c r="D74">
        <v>2.6954565770929722</v>
      </c>
      <c r="E74">
        <v>710.00000000000045</v>
      </c>
      <c r="F74">
        <v>2.8788716133042009</v>
      </c>
      <c r="G74">
        <v>710.00000000000045</v>
      </c>
      <c r="H74">
        <v>3.0927791770166331</v>
      </c>
      <c r="I74">
        <v>710.00000000000045</v>
      </c>
      <c r="J74">
        <v>3.3484890346278018</v>
      </c>
    </row>
    <row r="75" spans="1:10" x14ac:dyDescent="0.3">
      <c r="A75">
        <v>720.00000000000045</v>
      </c>
      <c r="B75">
        <v>2.598566549830255</v>
      </c>
      <c r="C75">
        <v>720.00000000000045</v>
      </c>
      <c r="D75">
        <v>2.7589921224301848</v>
      </c>
      <c r="E75">
        <v>720.00000000000045</v>
      </c>
      <c r="F75">
        <v>2.9425242156995202</v>
      </c>
      <c r="G75">
        <v>720.00000000000045</v>
      </c>
      <c r="H75">
        <v>3.1562479201177323</v>
      </c>
      <c r="I75">
        <v>720.00000000000045</v>
      </c>
      <c r="J75">
        <v>3.4113133728751239</v>
      </c>
    </row>
    <row r="76" spans="1:10" x14ac:dyDescent="0.3">
      <c r="A76">
        <v>730.00000000000045</v>
      </c>
      <c r="B76">
        <v>2.661639373735512</v>
      </c>
      <c r="C76">
        <v>730.00000000000045</v>
      </c>
      <c r="D76">
        <v>2.8223377764231623</v>
      </c>
      <c r="E76">
        <v>730.00000000000045</v>
      </c>
      <c r="F76">
        <v>3.005937640212641</v>
      </c>
      <c r="G76">
        <v>730.00000000000045</v>
      </c>
      <c r="H76">
        <v>3.2194309951547102</v>
      </c>
      <c r="I76">
        <v>730.00000000000045</v>
      </c>
      <c r="J76">
        <v>3.4738119324422261</v>
      </c>
    </row>
    <row r="77" spans="1:10" x14ac:dyDescent="0.3">
      <c r="A77">
        <v>740.00000000000045</v>
      </c>
      <c r="B77">
        <v>2.7245552446392338</v>
      </c>
      <c r="C77">
        <v>740.00000000000045</v>
      </c>
      <c r="D77">
        <v>2.8854790308777458</v>
      </c>
      <c r="E77">
        <v>740.00000000000045</v>
      </c>
      <c r="F77">
        <v>3.069100270522251</v>
      </c>
      <c r="G77">
        <v>740.00000000000045</v>
      </c>
      <c r="H77">
        <v>3.2823198384373087</v>
      </c>
      <c r="I77">
        <v>740.00000000000045</v>
      </c>
      <c r="J77">
        <v>3.5359792673406392</v>
      </c>
    </row>
    <row r="78" spans="1:10" x14ac:dyDescent="0.3">
      <c r="A78">
        <v>750.00000000000045</v>
      </c>
      <c r="B78">
        <v>2.7872982321110671</v>
      </c>
      <c r="C78">
        <v>750.00000000000045</v>
      </c>
      <c r="D78">
        <v>2.9484025151986861</v>
      </c>
      <c r="E78">
        <v>750.00000000000045</v>
      </c>
      <c r="F78">
        <v>3.1320014690249991</v>
      </c>
      <c r="G78">
        <v>750.00000000000045</v>
      </c>
      <c r="H78">
        <v>3.344906676611981</v>
      </c>
      <c r="I78">
        <v>750.00000000000045</v>
      </c>
      <c r="J78">
        <v>3.5978105030954013</v>
      </c>
    </row>
    <row r="79" spans="1:10" x14ac:dyDescent="0.3">
      <c r="A79">
        <v>760.00000000000045</v>
      </c>
      <c r="B79">
        <v>2.8498535977592829</v>
      </c>
      <c r="C79">
        <v>760.00000000000045</v>
      </c>
      <c r="D79">
        <v>3.011095922983015</v>
      </c>
      <c r="E79">
        <v>760.00000000000045</v>
      </c>
      <c r="F79">
        <v>3.194631509912587</v>
      </c>
      <c r="G79">
        <v>760.00000000000045</v>
      </c>
      <c r="H79">
        <v>3.4071844695187421</v>
      </c>
      <c r="I79">
        <v>760.00000000000045</v>
      </c>
      <c r="J79">
        <v>3.6593012933061146</v>
      </c>
    </row>
    <row r="80" spans="1:10" x14ac:dyDescent="0.3">
      <c r="A80">
        <v>770.00000000000045</v>
      </c>
      <c r="B80">
        <v>2.9122077212911108</v>
      </c>
      <c r="C80">
        <v>770.00000000000045</v>
      </c>
      <c r="D80">
        <v>3.0735479420972589</v>
      </c>
      <c r="E80">
        <v>770.00000000000045</v>
      </c>
      <c r="F80">
        <v>3.2569815157682811</v>
      </c>
      <c r="G80">
        <v>770.00000000000045</v>
      </c>
      <c r="H80">
        <v>3.469146856263627</v>
      </c>
      <c r="I80">
        <v>770.00000000000045</v>
      </c>
      <c r="J80">
        <v>3.7204477786727828</v>
      </c>
    </row>
    <row r="81" spans="1:10" x14ac:dyDescent="0.3">
      <c r="A81">
        <v>780.00000000000045</v>
      </c>
      <c r="B81">
        <v>2.9743480298154452</v>
      </c>
      <c r="C81">
        <v>780.00000000000045</v>
      </c>
      <c r="D81">
        <v>3.1357481882087281</v>
      </c>
      <c r="E81">
        <v>780.00000000000045</v>
      </c>
      <c r="F81">
        <v>3.3190433975925848</v>
      </c>
      <c r="G81">
        <v>780.00000000000045</v>
      </c>
      <c r="H81">
        <v>3.5307881043890132</v>
      </c>
      <c r="I81">
        <v>780.00000000000045</v>
      </c>
      <c r="J81">
        <v>3.7812465483899529</v>
      </c>
    </row>
    <row r="82" spans="1:10" x14ac:dyDescent="0.3">
      <c r="A82">
        <v>790.00000000000045</v>
      </c>
      <c r="B82">
        <v>3.0362629304032192</v>
      </c>
      <c r="C82">
        <v>790.00000000000045</v>
      </c>
      <c r="D82">
        <v>3.1976871417165751</v>
      </c>
      <c r="E82">
        <v>790.00000000000045</v>
      </c>
      <c r="F82">
        <v>3.380809798154365</v>
      </c>
      <c r="G82">
        <v>790.00000000000045</v>
      </c>
      <c r="H82">
        <v>3.5921030620185053</v>
      </c>
      <c r="I82">
        <v>790.00000000000045</v>
      </c>
      <c r="J82">
        <v>3.8416946038105757</v>
      </c>
    </row>
    <row r="83" spans="1:10" x14ac:dyDescent="0.3">
      <c r="A83">
        <v>800</v>
      </c>
      <c r="B83">
        <v>3.0979417458898757</v>
      </c>
      <c r="C83">
        <v>800</v>
      </c>
      <c r="D83">
        <v>3.2593560880081331</v>
      </c>
      <c r="E83">
        <v>800</v>
      </c>
      <c r="F83">
        <v>3.4422740385529651</v>
      </c>
      <c r="G83">
        <v>800</v>
      </c>
      <c r="H83">
        <v>3.6530871128497258</v>
      </c>
      <c r="I83">
        <v>800</v>
      </c>
      <c r="J83">
        <v>3.9017893242794863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7A56A-ABF4-415A-976D-DD8C24B14CCB}">
  <sheetPr codeName="Foaie1"/>
  <dimension ref="A1:I13"/>
  <sheetViews>
    <sheetView workbookViewId="0">
      <selection sqref="A1:D1"/>
    </sheetView>
  </sheetViews>
  <sheetFormatPr defaultRowHeight="14.4" x14ac:dyDescent="0.3"/>
  <cols>
    <col min="1" max="4" width="12.77734375" customWidth="1"/>
    <col min="5" max="5" width="11.109375" customWidth="1"/>
    <col min="6" max="7" width="9.109375" customWidth="1"/>
    <col min="8" max="10" width="8.88671875" customWidth="1"/>
    <col min="11" max="13" width="9.109375" customWidth="1"/>
  </cols>
  <sheetData>
    <row r="1" spans="1:9" x14ac:dyDescent="0.3">
      <c r="A1" s="40" t="s">
        <v>38</v>
      </c>
      <c r="B1" s="40"/>
      <c r="C1" s="40"/>
      <c r="D1" s="40"/>
      <c r="E1" s="4"/>
      <c r="I1" s="2"/>
    </row>
    <row r="2" spans="1:9" x14ac:dyDescent="0.3">
      <c r="A2" s="40" t="s">
        <v>39</v>
      </c>
      <c r="B2" s="40"/>
      <c r="C2" s="40"/>
      <c r="D2" s="40"/>
      <c r="I2" s="2"/>
    </row>
    <row r="3" spans="1:9" x14ac:dyDescent="0.3">
      <c r="A3" s="2"/>
      <c r="B3" s="6" t="s">
        <v>32</v>
      </c>
      <c r="C3" s="6" t="s">
        <v>33</v>
      </c>
      <c r="D3" s="2"/>
      <c r="H3" s="2"/>
    </row>
    <row r="4" spans="1:9" x14ac:dyDescent="0.3">
      <c r="B4" s="7" cm="1">
        <f t="array" ref="B4:C4">LINEST(Vds_sat[Vds_sat],Vds_sat[Vgs])</f>
        <v>0.35200000000000031</v>
      </c>
      <c r="C4" s="7">
        <v>-48.000000000000142</v>
      </c>
      <c r="H4" s="2"/>
    </row>
    <row r="7" spans="1:9" x14ac:dyDescent="0.3">
      <c r="B7" s="1" t="s">
        <v>25</v>
      </c>
      <c r="C7" s="1" t="s">
        <v>25</v>
      </c>
    </row>
    <row r="8" spans="1:9" x14ac:dyDescent="0.3">
      <c r="B8" t="s">
        <v>0</v>
      </c>
      <c r="C8" t="s">
        <v>1</v>
      </c>
    </row>
    <row r="9" spans="1:9" x14ac:dyDescent="0.3">
      <c r="B9">
        <v>400</v>
      </c>
      <c r="C9">
        <v>96</v>
      </c>
    </row>
    <row r="10" spans="1:9" x14ac:dyDescent="0.3">
      <c r="B10">
        <v>500</v>
      </c>
      <c r="C10">
        <v>128</v>
      </c>
    </row>
    <row r="11" spans="1:9" x14ac:dyDescent="0.3">
      <c r="B11">
        <v>600</v>
      </c>
      <c r="C11">
        <v>160</v>
      </c>
    </row>
    <row r="12" spans="1:9" x14ac:dyDescent="0.3">
      <c r="B12">
        <v>700</v>
      </c>
      <c r="C12">
        <v>192.00000000000009</v>
      </c>
    </row>
    <row r="13" spans="1:9" x14ac:dyDescent="0.3">
      <c r="B13">
        <v>800</v>
      </c>
      <c r="C13">
        <v>240.00000000000011</v>
      </c>
    </row>
  </sheetData>
  <mergeCells count="2">
    <mergeCell ref="A1:D1"/>
    <mergeCell ref="A2:D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39FCD-A87E-4C1E-B12D-15788298BD44}">
  <sheetPr codeName="Foaie5"/>
  <dimension ref="A1:P15"/>
  <sheetViews>
    <sheetView topLeftCell="K1" workbookViewId="0">
      <selection activeCell="L2" sqref="L2"/>
    </sheetView>
  </sheetViews>
  <sheetFormatPr defaultRowHeight="14.4" x14ac:dyDescent="0.3"/>
  <cols>
    <col min="1" max="1" width="17.88671875" hidden="1" customWidth="1"/>
    <col min="2" max="2" width="19.21875" hidden="1" customWidth="1"/>
    <col min="3" max="3" width="17.88671875" hidden="1" customWidth="1"/>
    <col min="4" max="4" width="21.33203125" hidden="1" customWidth="1"/>
    <col min="5" max="5" width="17.88671875" hidden="1" customWidth="1"/>
    <col min="6" max="6" width="21.33203125" hidden="1" customWidth="1"/>
    <col min="7" max="7" width="17.88671875" hidden="1" customWidth="1"/>
    <col min="8" max="8" width="21.33203125" hidden="1" customWidth="1"/>
    <col min="9" max="9" width="17.88671875" hidden="1" customWidth="1"/>
    <col min="10" max="10" width="21.33203125" hidden="1" customWidth="1"/>
    <col min="12" max="16" width="14.44140625" customWidth="1"/>
  </cols>
  <sheetData>
    <row r="1" spans="1:16" ht="16.2" x14ac:dyDescent="0.3">
      <c r="A1" s="1" t="s">
        <v>25</v>
      </c>
      <c r="B1" s="1" t="s">
        <v>23</v>
      </c>
      <c r="C1" s="1" t="s">
        <v>25</v>
      </c>
      <c r="D1" s="1" t="s">
        <v>23</v>
      </c>
      <c r="E1" s="1" t="s">
        <v>25</v>
      </c>
      <c r="F1" s="1" t="s">
        <v>23</v>
      </c>
      <c r="G1" s="1" t="s">
        <v>25</v>
      </c>
      <c r="H1" s="1" t="s">
        <v>23</v>
      </c>
      <c r="I1" s="1" t="s">
        <v>25</v>
      </c>
      <c r="J1" s="1" t="s">
        <v>23</v>
      </c>
      <c r="L1" s="1" t="s">
        <v>25</v>
      </c>
      <c r="M1" s="5" t="s">
        <v>84</v>
      </c>
      <c r="N1" s="1" t="s">
        <v>23</v>
      </c>
      <c r="O1" s="5" t="s">
        <v>87</v>
      </c>
      <c r="P1" s="1" t="s">
        <v>25</v>
      </c>
    </row>
    <row r="2" spans="1:16" ht="15.6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L2" s="22" t="s">
        <v>58</v>
      </c>
      <c r="M2" s="22" t="s">
        <v>88</v>
      </c>
      <c r="N2" s="22" t="s">
        <v>85</v>
      </c>
      <c r="O2" s="22" t="s">
        <v>86</v>
      </c>
      <c r="P2" s="22" t="s">
        <v>83</v>
      </c>
    </row>
    <row r="3" spans="1:16" x14ac:dyDescent="0.3">
      <c r="A3">
        <v>400.00000000000017</v>
      </c>
      <c r="B3">
        <v>1.7841231110125819</v>
      </c>
      <c r="C3">
        <v>400.00000000000017</v>
      </c>
      <c r="D3">
        <v>1.8392309970099139</v>
      </c>
      <c r="E3">
        <v>400.00000000000017</v>
      </c>
      <c r="F3">
        <v>1.890549476060347</v>
      </c>
      <c r="G3">
        <v>400.00000000000017</v>
      </c>
      <c r="H3">
        <v>1.939629825072851</v>
      </c>
      <c r="I3">
        <v>400.00000000000017</v>
      </c>
      <c r="J3">
        <v>1.987312043946015</v>
      </c>
      <c r="L3">
        <v>400</v>
      </c>
      <c r="M3">
        <f>SLOPE(K_and_VT0_1[Square_root_of_Id],K_and_VT0_1[Vgs_at_Vds_0.4V])</f>
        <v>2.1501663449410208E-2</v>
      </c>
      <c r="N3">
        <f>INTERCEPT(K_and_VT0_1[Square_root_of_Id],K_and_VT0_1[Vgs_at_Vds_0.4V])</f>
        <v>-6.9063227404562983</v>
      </c>
      <c r="O3">
        <f>2*M3*M3*10^6</f>
        <v>924.64306218340573</v>
      </c>
      <c r="P3">
        <f>ABS(N3/M3)</f>
        <v>321.19946239069884</v>
      </c>
    </row>
    <row r="4" spans="1:16" x14ac:dyDescent="0.3">
      <c r="A4">
        <v>416.00000000000034</v>
      </c>
      <c r="B4">
        <v>2.0712871739840959</v>
      </c>
      <c r="C4">
        <v>416.00000000000034</v>
      </c>
      <c r="D4">
        <v>2.1322471902928499</v>
      </c>
      <c r="E4">
        <v>416.00000000000034</v>
      </c>
      <c r="F4">
        <v>2.188526978245827</v>
      </c>
      <c r="G4">
        <v>416.00000000000034</v>
      </c>
      <c r="H4">
        <v>2.2420087543034888</v>
      </c>
      <c r="I4">
        <v>416.00000000000034</v>
      </c>
      <c r="J4">
        <v>2.2937073029285142</v>
      </c>
      <c r="L4">
        <v>500</v>
      </c>
      <c r="M4">
        <f>SLOPE(K_and_VT0_1[Square_root_of_Id_1],K_and_VT0_1[Vgs_at_Vds_0.5V])</f>
        <v>2.1883579582719061E-2</v>
      </c>
      <c r="N4">
        <f>INTERCEPT(K_and_VT0_1[Square_root_of_Id_1],K_and_VT0_1[Vgs_at_Vds_0.5V])</f>
        <v>-7.0047055027782115</v>
      </c>
      <c r="O4">
        <f>2*M4*M4*10^6</f>
        <v>957.78211070639713</v>
      </c>
      <c r="P4">
        <f>ABS(N4/M4)</f>
        <v>320.08956653095549</v>
      </c>
    </row>
    <row r="5" spans="1:16" x14ac:dyDescent="0.3">
      <c r="A5">
        <v>432.00000000000028</v>
      </c>
      <c r="B5">
        <v>2.3755372029879429</v>
      </c>
      <c r="C5">
        <v>432.00000000000028</v>
      </c>
      <c r="D5">
        <v>2.4423594416538901</v>
      </c>
      <c r="E5">
        <v>432.00000000000028</v>
      </c>
      <c r="F5">
        <v>2.5035107435672428</v>
      </c>
      <c r="G5">
        <v>432.00000000000028</v>
      </c>
      <c r="H5">
        <v>2.561248346098461</v>
      </c>
      <c r="I5">
        <v>432.00000000000028</v>
      </c>
      <c r="J5">
        <v>2.6167830482846122</v>
      </c>
      <c r="L5">
        <v>600</v>
      </c>
      <c r="M5">
        <f>SLOPE(K_and_VT0_1[Square_root_of_Id_2],K_and_VT0_1[Vgs_at_Vds_0.6V])</f>
        <v>2.2167218513286579E-2</v>
      </c>
      <c r="N5">
        <f>INTERCEPT(K_and_VT0_1[Square_root_of_Id_2],K_and_VT0_1[Vgs_at_Vds_0.6V])</f>
        <v>-7.0660745952427142</v>
      </c>
      <c r="O5">
        <f>2*M5*M5*10^6</f>
        <v>982.77115323159046</v>
      </c>
      <c r="P5">
        <f>ABS(N5/M5)</f>
        <v>318.76234679634945</v>
      </c>
    </row>
    <row r="6" spans="1:16" x14ac:dyDescent="0.3">
      <c r="A6">
        <v>448.00000000000028</v>
      </c>
      <c r="B6">
        <v>2.6944738014180509</v>
      </c>
      <c r="C6">
        <v>448.00000000000028</v>
      </c>
      <c r="D6">
        <v>2.7671685598555031</v>
      </c>
      <c r="E6">
        <v>448.00000000000028</v>
      </c>
      <c r="F6">
        <v>2.833100323180366</v>
      </c>
      <c r="G6">
        <v>448.00000000000028</v>
      </c>
      <c r="H6">
        <v>2.8949479503323787</v>
      </c>
      <c r="I6">
        <v>448.00000000000028</v>
      </c>
      <c r="J6">
        <v>2.9541399009161959</v>
      </c>
      <c r="L6">
        <v>700</v>
      </c>
      <c r="M6">
        <f>SLOPE(K_and_VT0_1[Square_root_of_Id_3],K_and_VT0_1[Vgs_at_Vds_0.7V])</f>
        <v>2.2395105137857856E-2</v>
      </c>
      <c r="N6">
        <f>INTERCEPT(K_and_VT0_1[Square_root_of_Id_3],K_and_VT0_1[Vgs_at_Vds_0.7V])</f>
        <v>-7.1066839110401263</v>
      </c>
      <c r="O6">
        <f>2*M6*M6*10^6</f>
        <v>1003.0814682714146</v>
      </c>
      <c r="P6">
        <f>ABS(N6/M6)</f>
        <v>317.33201819296738</v>
      </c>
    </row>
    <row r="7" spans="1:16" x14ac:dyDescent="0.3">
      <c r="A7">
        <v>464.00000000000028</v>
      </c>
      <c r="B7">
        <v>3.025774128900272</v>
      </c>
      <c r="C7">
        <v>464.00000000000028</v>
      </c>
      <c r="D7">
        <v>3.1043572195387301</v>
      </c>
      <c r="E7">
        <v>464.00000000000028</v>
      </c>
      <c r="F7">
        <v>3.1749802807717571</v>
      </c>
      <c r="G7">
        <v>464.00000000000028</v>
      </c>
      <c r="H7">
        <v>3.240794128776042</v>
      </c>
      <c r="I7">
        <v>464.00000000000028</v>
      </c>
      <c r="J7">
        <v>3.30346733275691</v>
      </c>
      <c r="L7">
        <v>800</v>
      </c>
      <c r="M7">
        <f>SLOPE(K_and_VT0_1[Square_root_of_Id_4],K_and_VT0_1[Vgs_at_Vds_0.8V])</f>
        <v>2.2587242533616145E-2</v>
      </c>
      <c r="N7">
        <f>INTERCEPT(K_and_VT0_1[Square_root_of_Id_4],K_and_VT0_1[Vgs_at_Vds_0.8V])</f>
        <v>-7.1340127768982731</v>
      </c>
      <c r="O7">
        <f>2*M7*M7*10^6</f>
        <v>1020.3670505447965</v>
      </c>
      <c r="P7">
        <f>ABS(N7/M7)</f>
        <v>315.84257203068785</v>
      </c>
    </row>
    <row r="8" spans="1:16" x14ac:dyDescent="0.3">
      <c r="A8">
        <v>480.00000000000034</v>
      </c>
      <c r="B8">
        <v>3.367198367890579</v>
      </c>
      <c r="C8">
        <v>480.00000000000034</v>
      </c>
      <c r="D8">
        <v>3.4516962442186951</v>
      </c>
      <c r="E8">
        <v>480.00000000000034</v>
      </c>
      <c r="F8">
        <v>3.5269255166889257</v>
      </c>
      <c r="G8">
        <v>480.00000000000034</v>
      </c>
      <c r="H8">
        <v>3.5965648258367962</v>
      </c>
      <c r="I8">
        <v>480.00000000000034</v>
      </c>
      <c r="J8">
        <v>3.6625466672256639</v>
      </c>
    </row>
    <row r="9" spans="1:16" x14ac:dyDescent="0.3">
      <c r="A9">
        <v>496.00000000000028</v>
      </c>
      <c r="B9">
        <v>3.7165844320182919</v>
      </c>
      <c r="C9">
        <v>496.00000000000028</v>
      </c>
      <c r="D9">
        <v>3.8070405922938679</v>
      </c>
      <c r="E9">
        <v>496.00000000000028</v>
      </c>
      <c r="F9">
        <v>3.886797289613003</v>
      </c>
      <c r="G9">
        <v>496.00000000000028</v>
      </c>
      <c r="H9">
        <v>3.9601250140975237</v>
      </c>
      <c r="I9">
        <v>496.00000000000028</v>
      </c>
      <c r="J9">
        <v>4.0292461995154891</v>
      </c>
    </row>
    <row r="10" spans="1:16" x14ac:dyDescent="0.3">
      <c r="A10">
        <v>512.00000000000034</v>
      </c>
      <c r="B10">
        <v>4.0718357653831765</v>
      </c>
      <c r="C10">
        <v>512.00000000000034</v>
      </c>
      <c r="D10">
        <v>4.1683190878822645</v>
      </c>
      <c r="E10">
        <v>512.00000000000034</v>
      </c>
      <c r="F10">
        <v>4.252533476012899</v>
      </c>
      <c r="G10">
        <v>512.00000000000034</v>
      </c>
      <c r="H10">
        <v>4.3294169843400194</v>
      </c>
      <c r="I10">
        <v>512.00000000000034</v>
      </c>
      <c r="J10">
        <v>4.401511342439381</v>
      </c>
    </row>
    <row r="11" spans="1:16" x14ac:dyDescent="0.3">
      <c r="A11">
        <v>528.00000000000034</v>
      </c>
      <c r="B11">
        <v>4.4309083124559931</v>
      </c>
      <c r="C11">
        <v>528.00000000000034</v>
      </c>
      <c r="D11">
        <v>4.533522649586148</v>
      </c>
      <c r="E11">
        <v>528.00000000000034</v>
      </c>
      <c r="F11">
        <v>4.6221375816658004</v>
      </c>
      <c r="G11">
        <v>528.00000000000034</v>
      </c>
      <c r="H11">
        <v>4.7024499350036715</v>
      </c>
      <c r="I11">
        <v>528.00000000000034</v>
      </c>
      <c r="J11">
        <v>4.7773547792376521</v>
      </c>
    </row>
    <row r="12" spans="1:16" x14ac:dyDescent="0.3">
      <c r="A12">
        <v>544.00000000000034</v>
      </c>
      <c r="B12">
        <v>4.791808326519889</v>
      </c>
      <c r="C12">
        <v>544.00000000000034</v>
      </c>
      <c r="D12">
        <v>4.9007008961328333</v>
      </c>
      <c r="E12">
        <v>544.00000000000034</v>
      </c>
      <c r="F12">
        <v>4.993676004559144</v>
      </c>
      <c r="G12">
        <v>544.00000000000034</v>
      </c>
      <c r="H12">
        <v>5.077298451606933</v>
      </c>
      <c r="I12">
        <v>544.00000000000034</v>
      </c>
      <c r="J12">
        <v>5.1548564620405894</v>
      </c>
    </row>
    <row r="13" spans="1:16" x14ac:dyDescent="0.3">
      <c r="A13">
        <v>560.00000000000034</v>
      </c>
      <c r="B13">
        <v>5.1526129372503959</v>
      </c>
      <c r="C13">
        <v>560.00000000000034</v>
      </c>
      <c r="D13">
        <v>5.2679781950009934</v>
      </c>
      <c r="E13">
        <v>560.00000000000034</v>
      </c>
      <c r="F13">
        <v>5.3652939866628166</v>
      </c>
      <c r="G13">
        <v>560.00000000000034</v>
      </c>
      <c r="H13">
        <v>5.4521197785784494</v>
      </c>
      <c r="I13">
        <v>560.00000000000034</v>
      </c>
      <c r="J13">
        <v>5.5321827849304555</v>
      </c>
    </row>
    <row r="14" spans="1:16" x14ac:dyDescent="0.3">
      <c r="A14">
        <v>576.00000000000045</v>
      </c>
      <c r="B14">
        <v>5.5115141925445021</v>
      </c>
      <c r="C14">
        <v>576.00000000000045</v>
      </c>
      <c r="D14">
        <v>5.6335912863179942</v>
      </c>
      <c r="E14">
        <v>576.00000000000045</v>
      </c>
      <c r="F14">
        <v>5.7352519902801076</v>
      </c>
      <c r="G14">
        <v>576.00000000000045</v>
      </c>
      <c r="H14">
        <v>5.8251906693410591</v>
      </c>
      <c r="I14">
        <v>576.00000000000045</v>
      </c>
      <c r="J14">
        <v>5.9076245190705245</v>
      </c>
    </row>
    <row r="15" spans="1:16" x14ac:dyDescent="0.3">
      <c r="A15">
        <v>592.00000000000045</v>
      </c>
      <c r="B15">
        <v>5.8668725434994444</v>
      </c>
      <c r="C15">
        <v>592.00000000000045</v>
      </c>
      <c r="D15">
        <v>5.9959372534721522</v>
      </c>
      <c r="E15">
        <v>592.00000000000045</v>
      </c>
      <c r="F15">
        <v>6.1019715882084249</v>
      </c>
      <c r="G15">
        <v>592.00000000000045</v>
      </c>
      <c r="H15">
        <v>6.1949524219982175</v>
      </c>
      <c r="I15">
        <v>592.00000000000045</v>
      </c>
      <c r="J15">
        <v>6.2796413737874284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6B34-7D6C-49A7-99BE-BA49DD5C0D65}">
  <sheetPr codeName="Foaie6"/>
  <dimension ref="A1:O27"/>
  <sheetViews>
    <sheetView topLeftCell="K1" workbookViewId="0">
      <selection activeCell="L2" sqref="L2"/>
    </sheetView>
  </sheetViews>
  <sheetFormatPr defaultRowHeight="14.4" x14ac:dyDescent="0.3"/>
  <cols>
    <col min="1" max="1" width="17.88671875" hidden="1" customWidth="1"/>
    <col min="2" max="2" width="12.109375" hidden="1" customWidth="1"/>
    <col min="3" max="3" width="17.88671875" hidden="1" customWidth="1"/>
    <col min="4" max="4" width="12.109375" hidden="1" customWidth="1"/>
    <col min="5" max="5" width="17.88671875" hidden="1" customWidth="1"/>
    <col min="6" max="6" width="12.109375" hidden="1" customWidth="1"/>
    <col min="7" max="7" width="17.88671875" hidden="1" customWidth="1"/>
    <col min="8" max="8" width="12.109375" hidden="1" customWidth="1"/>
    <col min="9" max="9" width="17.88671875" hidden="1" customWidth="1"/>
    <col min="10" max="10" width="12.109375" hidden="1" customWidth="1"/>
    <col min="12" max="12" width="14.44140625" customWidth="1"/>
    <col min="13" max="13" width="14.5546875" customWidth="1"/>
    <col min="14" max="15" width="14.44140625" customWidth="1"/>
    <col min="17" max="18" width="14.44140625" customWidth="1"/>
    <col min="19" max="19" width="14.33203125" customWidth="1"/>
    <col min="20" max="21" width="14.44140625" customWidth="1"/>
  </cols>
  <sheetData>
    <row r="1" spans="1:15" x14ac:dyDescent="0.3">
      <c r="A1" s="1" t="s">
        <v>25</v>
      </c>
      <c r="B1" s="1" t="s">
        <v>22</v>
      </c>
      <c r="C1" s="1" t="s">
        <v>25</v>
      </c>
      <c r="D1" s="1" t="s">
        <v>22</v>
      </c>
      <c r="E1" s="1" t="s">
        <v>25</v>
      </c>
      <c r="F1" s="1" t="s">
        <v>22</v>
      </c>
      <c r="G1" s="1" t="s">
        <v>25</v>
      </c>
      <c r="H1" s="1" t="s">
        <v>22</v>
      </c>
      <c r="I1" s="1" t="s">
        <v>25</v>
      </c>
      <c r="J1" s="1" t="s">
        <v>22</v>
      </c>
      <c r="L1" s="1" t="s">
        <v>25</v>
      </c>
      <c r="M1" s="5" t="s">
        <v>28</v>
      </c>
      <c r="N1" s="5" t="s">
        <v>29</v>
      </c>
      <c r="O1" s="5" t="s">
        <v>30</v>
      </c>
    </row>
    <row r="2" spans="1:15" ht="15.6" x14ac:dyDescent="0.3">
      <c r="A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L2" s="3" t="s">
        <v>0</v>
      </c>
      <c r="M2" s="3" t="s">
        <v>26</v>
      </c>
      <c r="N2" s="3" t="s">
        <v>27</v>
      </c>
      <c r="O2" s="1" t="s">
        <v>31</v>
      </c>
    </row>
    <row r="3" spans="1:15" x14ac:dyDescent="0.3">
      <c r="A3">
        <v>208.00000000000011</v>
      </c>
      <c r="B3">
        <v>2.7390150571709158</v>
      </c>
      <c r="C3">
        <v>208.00000000000011</v>
      </c>
      <c r="D3">
        <v>12.60810756909747</v>
      </c>
      <c r="E3">
        <v>208.00000000000011</v>
      </c>
      <c r="F3">
        <v>31.009765804013288</v>
      </c>
      <c r="G3">
        <v>208.00000000000011</v>
      </c>
      <c r="H3">
        <v>53.163570099314974</v>
      </c>
      <c r="I3">
        <v>208.00000000000011</v>
      </c>
      <c r="J3">
        <v>74.696504997498465</v>
      </c>
      <c r="L3">
        <v>400</v>
      </c>
      <c r="M3">
        <f>SLOPE(Lambda[Id],Lambda[Vds_at_Vgs_0.4V])</f>
        <v>2.1111986171529588E-3</v>
      </c>
      <c r="N3">
        <f>INTERCEPT(Lambda[Id],Lambda[Vds_at_Vgs_0.4V])</f>
        <v>2.3266017225836366</v>
      </c>
      <c r="O3">
        <f>M3/N3*1000</f>
        <v>0.90741728447124259</v>
      </c>
    </row>
    <row r="4" spans="1:15" x14ac:dyDescent="0.3">
      <c r="A4">
        <v>224.00000000000009</v>
      </c>
      <c r="B4">
        <v>2.780681586559508</v>
      </c>
      <c r="C4">
        <v>224.00000000000009</v>
      </c>
      <c r="D4">
        <v>12.815453080842181</v>
      </c>
      <c r="E4">
        <v>224.00000000000009</v>
      </c>
      <c r="F4">
        <v>31.751720748126207</v>
      </c>
      <c r="G4">
        <v>224.00000000000009</v>
      </c>
      <c r="H4">
        <v>54.893806266607299</v>
      </c>
      <c r="I4">
        <v>224.00000000000009</v>
      </c>
      <c r="J4">
        <v>77.620073765029801</v>
      </c>
      <c r="L4">
        <v>500</v>
      </c>
      <c r="M4">
        <f>SLOPE(Lambda[Id_1],Lambda[Vds_at_Vgs_0.5V])</f>
        <v>8.0013561324266333E-3</v>
      </c>
      <c r="N4">
        <f>INTERCEPT(Lambda[Id_1],Lambda[Vds_at_Vgs_0.5V])</f>
        <v>11.180203741642256</v>
      </c>
      <c r="O4">
        <f>M4/N4*1000</f>
        <v>0.71567176388963705</v>
      </c>
    </row>
    <row r="5" spans="1:15" x14ac:dyDescent="0.3">
      <c r="A5">
        <v>240.00000000000011</v>
      </c>
      <c r="B5">
        <v>2.8214180731070031</v>
      </c>
      <c r="C5">
        <v>240.00000000000011</v>
      </c>
      <c r="D5">
        <v>13.00741302920609</v>
      </c>
      <c r="E5">
        <v>240.00000000000011</v>
      </c>
      <c r="F5">
        <v>32.405470638005241</v>
      </c>
      <c r="G5">
        <v>240.00000000000011</v>
      </c>
      <c r="H5">
        <v>56.424079594945738</v>
      </c>
      <c r="I5">
        <v>240.00000000000011</v>
      </c>
      <c r="J5">
        <v>80.242588014241136</v>
      </c>
      <c r="L5">
        <v>600</v>
      </c>
      <c r="M5">
        <f>SLOPE(Lambda[Id_2],Lambda[Vds_at_Vgs_0.6V])</f>
        <v>2.0421220862474908E-2</v>
      </c>
      <c r="N5">
        <f>INTERCEPT(Lambda[Id_2],Lambda[Vds_at_Vgs_0.6V])</f>
        <v>27.919016470000326</v>
      </c>
      <c r="O5">
        <f>M5/N5*1000</f>
        <v>0.73144485173458795</v>
      </c>
    </row>
    <row r="6" spans="1:15" x14ac:dyDescent="0.3">
      <c r="A6">
        <v>256.00000000000011</v>
      </c>
      <c r="B6">
        <v>2.8612176713289301</v>
      </c>
      <c r="C6">
        <v>256.00000000000011</v>
      </c>
      <c r="D6">
        <v>13.187204141607481</v>
      </c>
      <c r="E6">
        <v>256.00000000000011</v>
      </c>
      <c r="F6">
        <v>32.988280566609916</v>
      </c>
      <c r="G6">
        <v>256.00000000000011</v>
      </c>
      <c r="H6">
        <v>57.783194986259595</v>
      </c>
      <c r="I6">
        <v>256.00000000000011</v>
      </c>
      <c r="J6">
        <v>82.596790371387755</v>
      </c>
      <c r="L6">
        <v>700</v>
      </c>
      <c r="M6">
        <f>SLOPE(Lambda[Id_3],Lambda[Vds_at_Vgs_0.7V])</f>
        <v>4.1752817675844767E-2</v>
      </c>
      <c r="N6">
        <f>INTERCEPT(Lambda[Id_3],Lambda[Vds_at_Vgs_0.7V])</f>
        <v>47.557914483758026</v>
      </c>
      <c r="O6">
        <f>M6/N6*1000</f>
        <v>0.8779362621147776</v>
      </c>
    </row>
    <row r="7" spans="1:15" x14ac:dyDescent="0.3">
      <c r="A7">
        <v>272.00000000000006</v>
      </c>
      <c r="B7">
        <v>2.9000827295700913</v>
      </c>
      <c r="C7">
        <v>272.00000000000006</v>
      </c>
      <c r="D7">
        <v>13.356912929831539</v>
      </c>
      <c r="E7">
        <v>272.00000000000006</v>
      </c>
      <c r="F7">
        <v>33.513459026982765</v>
      </c>
      <c r="G7">
        <v>272.00000000000006</v>
      </c>
      <c r="H7">
        <v>58.996091456795845</v>
      </c>
      <c r="I7">
        <v>272.00000000000006</v>
      </c>
      <c r="J7">
        <v>84.713038953839202</v>
      </c>
      <c r="L7">
        <v>800</v>
      </c>
      <c r="M7">
        <f>SLOPE(Lambda[Id_4],Lambda[Vds_at_Vgs_0.8V])</f>
        <v>7.0345793586242489E-2</v>
      </c>
      <c r="N7">
        <f>INTERCEPT(Lambda[Id_4],Lambda[Vds_at_Vgs_0.8V])</f>
        <v>65.530169009433251</v>
      </c>
      <c r="O7">
        <f>M7/N7*1000</f>
        <v>1.0734871380556947</v>
      </c>
    </row>
    <row r="8" spans="1:15" x14ac:dyDescent="0.3">
      <c r="A8">
        <v>288.00000000000011</v>
      </c>
      <c r="B8">
        <v>2.938038602858033</v>
      </c>
      <c r="C8">
        <v>288.00000000000011</v>
      </c>
      <c r="D8">
        <v>13.518002314640329</v>
      </c>
      <c r="E8">
        <v>288.00000000000011</v>
      </c>
      <c r="F8">
        <v>33.99129307329374</v>
      </c>
      <c r="G8">
        <v>288.00000000000011</v>
      </c>
      <c r="H8">
        <v>60.084141793125944</v>
      </c>
      <c r="I8">
        <v>288.00000000000011</v>
      </c>
      <c r="J8">
        <v>86.619033695917366</v>
      </c>
    </row>
    <row r="9" spans="1:15" x14ac:dyDescent="0.3">
      <c r="A9">
        <v>304.00000000000023</v>
      </c>
      <c r="B9">
        <v>2.975131043787393</v>
      </c>
      <c r="C9">
        <v>304.00000000000023</v>
      </c>
      <c r="D9">
        <v>13.67158338021707</v>
      </c>
      <c r="E9">
        <v>304.00000000000023</v>
      </c>
      <c r="F9">
        <v>34.42980397986473</v>
      </c>
      <c r="G9">
        <v>304.00000000000023</v>
      </c>
      <c r="H9">
        <v>61.065551255027778</v>
      </c>
      <c r="I9">
        <v>304.00000000000023</v>
      </c>
      <c r="J9">
        <v>88.339798305327051</v>
      </c>
    </row>
    <row r="10" spans="1:15" ht="16.2" x14ac:dyDescent="0.3">
      <c r="A10">
        <v>320.00000000000017</v>
      </c>
      <c r="B10">
        <v>3.011419181353558</v>
      </c>
      <c r="C10">
        <v>320.00000000000017</v>
      </c>
      <c r="D10">
        <v>13.81855482681865</v>
      </c>
      <c r="E10">
        <v>320.00000000000017</v>
      </c>
      <c r="F10">
        <v>34.835318779970649</v>
      </c>
      <c r="G10">
        <v>320.00000000000017</v>
      </c>
      <c r="H10">
        <v>61.955764582379082</v>
      </c>
      <c r="I10">
        <v>320.00000000000017</v>
      </c>
      <c r="J10">
        <v>89.897772135864386</v>
      </c>
      <c r="L10" s="41" t="s">
        <v>36</v>
      </c>
      <c r="M10" s="38"/>
      <c r="N10" s="38"/>
      <c r="O10" s="38"/>
    </row>
    <row r="11" spans="1:15" x14ac:dyDescent="0.3">
      <c r="A11">
        <v>336.00000000000017</v>
      </c>
      <c r="B11">
        <v>3.0469688104747208</v>
      </c>
      <c r="C11">
        <v>336.00000000000017</v>
      </c>
      <c r="D11">
        <v>13.95967361276991</v>
      </c>
      <c r="E11">
        <v>336.00000000000017</v>
      </c>
      <c r="F11">
        <v>35.212889291196902</v>
      </c>
      <c r="G11">
        <v>336.00000000000017</v>
      </c>
      <c r="H11">
        <v>62.767847034686966</v>
      </c>
      <c r="I11">
        <v>336.00000000000017</v>
      </c>
      <c r="J11">
        <v>91.312944124691427</v>
      </c>
      <c r="L11" s="38" t="s">
        <v>37</v>
      </c>
      <c r="M11" s="38"/>
      <c r="N11" s="38"/>
      <c r="O11" s="38"/>
    </row>
    <row r="12" spans="1:15" x14ac:dyDescent="0.3">
      <c r="A12">
        <v>352.00000000000023</v>
      </c>
      <c r="B12">
        <v>3.0818473636528201</v>
      </c>
      <c r="C12">
        <v>352.00000000000023</v>
      </c>
      <c r="D12">
        <v>14.09559177044653</v>
      </c>
      <c r="E12">
        <v>352.00000000000023</v>
      </c>
      <c r="F12">
        <v>35.566596375054424</v>
      </c>
      <c r="G12">
        <v>352.00000000000023</v>
      </c>
      <c r="H12">
        <v>63.512829279160812</v>
      </c>
      <c r="I12">
        <v>352.00000000000023</v>
      </c>
      <c r="J12">
        <v>92.603006726484423</v>
      </c>
      <c r="L12" s="6" t="s">
        <v>32</v>
      </c>
      <c r="M12" s="6" t="s">
        <v>33</v>
      </c>
      <c r="N12" s="6" t="s">
        <v>34</v>
      </c>
      <c r="O12" s="6" t="s">
        <v>35</v>
      </c>
    </row>
    <row r="13" spans="1:15" x14ac:dyDescent="0.3">
      <c r="A13">
        <v>368.00000000000023</v>
      </c>
      <c r="B13">
        <v>3.1161206099731</v>
      </c>
      <c r="C13">
        <v>368.00000000000023</v>
      </c>
      <c r="D13">
        <v>14.226877213841911</v>
      </c>
      <c r="E13">
        <v>368.00000000000023</v>
      </c>
      <c r="F13">
        <v>35.899771652050802</v>
      </c>
      <c r="G13">
        <v>368.00000000000023</v>
      </c>
      <c r="H13">
        <v>64.200014110702071</v>
      </c>
      <c r="I13">
        <v>368.00000000000023</v>
      </c>
      <c r="J13">
        <v>93.783525053320631</v>
      </c>
      <c r="L13" s="7" cm="1">
        <f t="array" ref="L13:O13">LINEST(Results_for_Lambda[λ],(Results_for_Lambda[Vgs]/1000)^{1,2,3},TRUE,FALSE)</f>
        <v>-13.204928572152614</v>
      </c>
      <c r="M13" s="7">
        <v>30.235379398305295</v>
      </c>
      <c r="N13" s="7">
        <v>-21.077760643194292</v>
      </c>
      <c r="O13" s="7">
        <v>5.3460456747962102</v>
      </c>
    </row>
    <row r="14" spans="1:15" x14ac:dyDescent="0.3">
      <c r="A14">
        <v>384.00000000000017</v>
      </c>
      <c r="B14">
        <v>3.1498507180403887</v>
      </c>
      <c r="C14">
        <v>384.00000000000017</v>
      </c>
      <c r="D14">
        <v>14.354027086486251</v>
      </c>
      <c r="E14">
        <v>384.00000000000017</v>
      </c>
      <c r="F14">
        <v>36.21516085241597</v>
      </c>
      <c r="G14">
        <v>384.00000000000017</v>
      </c>
      <c r="H14">
        <v>64.837245503612891</v>
      </c>
      <c r="I14">
        <v>384.00000000000017</v>
      </c>
      <c r="J14">
        <v>94.868118618547044</v>
      </c>
    </row>
    <row r="15" spans="1:15" x14ac:dyDescent="0.3">
      <c r="A15">
        <v>400.00000000000017</v>
      </c>
      <c r="B15">
        <v>3.1830952752492001</v>
      </c>
      <c r="C15">
        <v>400.00000000000017</v>
      </c>
      <c r="D15">
        <v>14.477477549826929</v>
      </c>
      <c r="E15">
        <v>400.00000000000017</v>
      </c>
      <c r="F15">
        <v>36.515045906113237</v>
      </c>
      <c r="G15">
        <v>400.00000000000017</v>
      </c>
      <c r="H15">
        <v>65.43114160696463</v>
      </c>
      <c r="I15">
        <v>400.00000000000017</v>
      </c>
      <c r="J15">
        <v>95.868650790851305</v>
      </c>
    </row>
    <row r="16" spans="1:15" x14ac:dyDescent="0.3">
      <c r="A16">
        <v>416.00000000000034</v>
      </c>
      <c r="B16">
        <v>3.2159069290202993</v>
      </c>
      <c r="C16">
        <v>416.00000000000034</v>
      </c>
      <c r="D16">
        <v>14.597611711846721</v>
      </c>
      <c r="E16">
        <v>416.00000000000034</v>
      </c>
      <c r="F16">
        <v>36.80133757708689</v>
      </c>
      <c r="G16">
        <v>416.00000000000034</v>
      </c>
      <c r="H16">
        <v>65.987294136248508</v>
      </c>
      <c r="I16">
        <v>416.00000000000034</v>
      </c>
      <c r="J16">
        <v>96.795419330405522</v>
      </c>
    </row>
    <row r="17" spans="1:10" x14ac:dyDescent="0.3">
      <c r="A17">
        <v>432.00000000000028</v>
      </c>
      <c r="B17">
        <v>3.2483334070822321</v>
      </c>
      <c r="C17">
        <v>432.00000000000028</v>
      </c>
      <c r="D17">
        <v>14.71476640879529</v>
      </c>
      <c r="E17">
        <v>432.00000000000028</v>
      </c>
      <c r="F17">
        <v>37.075646754358765</v>
      </c>
      <c r="G17">
        <v>432.00000000000028</v>
      </c>
      <c r="H17">
        <v>66.510437264525507</v>
      </c>
      <c r="I17">
        <v>432.00000000000028</v>
      </c>
      <c r="J17">
        <v>97.657341388045353</v>
      </c>
    </row>
    <row r="18" spans="1:10" x14ac:dyDescent="0.3">
      <c r="A18">
        <v>448.00000000000028</v>
      </c>
      <c r="B18">
        <v>3.2804177532767809</v>
      </c>
      <c r="C18">
        <v>448.00000000000028</v>
      </c>
      <c r="D18">
        <v>14.82923813600714</v>
      </c>
      <c r="E18">
        <v>448.00000000000028</v>
      </c>
      <c r="F18">
        <v>37.339340019156893</v>
      </c>
      <c r="G18">
        <v>448.00000000000028</v>
      </c>
      <c r="H18">
        <v>67.004589494173501</v>
      </c>
      <c r="I18">
        <v>448.00000000000028</v>
      </c>
      <c r="J18">
        <v>98.462127635778529</v>
      </c>
    </row>
    <row r="19" spans="1:10" x14ac:dyDescent="0.3">
      <c r="A19">
        <v>464.00000000000028</v>
      </c>
      <c r="B19">
        <v>3.312198673548024</v>
      </c>
      <c r="C19">
        <v>464.00000000000028</v>
      </c>
      <c r="D19">
        <v>14.941288260977529</v>
      </c>
      <c r="E19">
        <v>464.00000000000028</v>
      </c>
      <c r="F19">
        <v>37.593583437835939</v>
      </c>
      <c r="G19">
        <v>464.00000000000028</v>
      </c>
      <c r="H19">
        <v>67.473172082819332</v>
      </c>
      <c r="I19">
        <v>464.00000000000028</v>
      </c>
      <c r="J19">
        <v>99.216441986690484</v>
      </c>
    </row>
    <row r="20" spans="1:10" x14ac:dyDescent="0.3">
      <c r="A20">
        <v>480.00000000000034</v>
      </c>
      <c r="B20">
        <v>3.3437109260423998</v>
      </c>
      <c r="C20">
        <v>480.00000000000034</v>
      </c>
      <c r="D20">
        <v>15.05114759542078</v>
      </c>
      <c r="E20">
        <v>480.00000000000034</v>
      </c>
      <c r="F20">
        <v>37.839377406563408</v>
      </c>
      <c r="G20">
        <v>480.00000000000034</v>
      </c>
      <c r="H20">
        <v>67.919107460239431</v>
      </c>
      <c r="I20">
        <v>480.00000000000034</v>
      </c>
      <c r="J20">
        <v>99.926045088687943</v>
      </c>
    </row>
    <row r="21" spans="1:10" x14ac:dyDescent="0.3">
      <c r="A21">
        <v>496.00000000000028</v>
      </c>
      <c r="B21">
        <v>3.3749857165478421</v>
      </c>
      <c r="C21">
        <v>496.00000000000028</v>
      </c>
      <c r="D21">
        <v>15.159020387104411</v>
      </c>
      <c r="E21">
        <v>496.00000000000028</v>
      </c>
      <c r="F21">
        <v>38.077584606740558</v>
      </c>
      <c r="G21">
        <v>496.00000000000028</v>
      </c>
      <c r="H21">
        <v>68.344900787284502</v>
      </c>
      <c r="I21">
        <v>496.00000000000028</v>
      </c>
      <c r="J21">
        <v>100.5959211611505</v>
      </c>
    </row>
    <row r="22" spans="1:10" x14ac:dyDescent="0.3">
      <c r="A22">
        <v>512.00000000000034</v>
      </c>
      <c r="B22">
        <v>3.4060510774315622</v>
      </c>
      <c r="C22">
        <v>512.00000000000034</v>
      </c>
      <c r="D22">
        <v>15.265087789323049</v>
      </c>
      <c r="E22">
        <v>512.00000000000034</v>
      </c>
      <c r="F22">
        <v>38.308952597028181</v>
      </c>
      <c r="G22">
        <v>512.00000000000034</v>
      </c>
      <c r="H22">
        <v>68.75270744680104</v>
      </c>
      <c r="I22">
        <v>512.00000000000034</v>
      </c>
      <c r="J22">
        <v>101.2303887159881</v>
      </c>
    </row>
    <row r="23" spans="1:10" x14ac:dyDescent="0.3">
      <c r="A23">
        <v>528.00000000000034</v>
      </c>
      <c r="B23">
        <v>3.4369322188830611</v>
      </c>
      <c r="C23">
        <v>528.00000000000034</v>
      </c>
      <c r="D23">
        <v>15.369510864777482</v>
      </c>
      <c r="E23">
        <v>528.00000000000034</v>
      </c>
      <c r="F23">
        <v>38.534132190000484</v>
      </c>
      <c r="G23">
        <v>528.00000000000034</v>
      </c>
      <c r="H23">
        <v>69.144388874690307</v>
      </c>
      <c r="I23">
        <v>528.00000000000034</v>
      </c>
      <c r="J23">
        <v>101.83319630550331</v>
      </c>
    </row>
    <row r="24" spans="1:10" x14ac:dyDescent="0.3">
      <c r="A24">
        <v>544.00000000000034</v>
      </c>
      <c r="B24">
        <v>3.4676518477493081</v>
      </c>
      <c r="C24">
        <v>544.00000000000034</v>
      </c>
      <c r="D24">
        <v>15.472433179034411</v>
      </c>
      <c r="E24">
        <v>544.00000000000034</v>
      </c>
      <c r="F24">
        <v>38.753692488484745</v>
      </c>
      <c r="G24">
        <v>544.00000000000034</v>
      </c>
      <c r="H24">
        <v>69.52155877156433</v>
      </c>
      <c r="I24">
        <v>544.00000000000034</v>
      </c>
      <c r="J24">
        <v>102.40760475115221</v>
      </c>
    </row>
    <row r="25" spans="1:10" x14ac:dyDescent="0.3">
      <c r="A25">
        <v>560.00000000000034</v>
      </c>
      <c r="B25">
        <v>3.4982304530583148</v>
      </c>
      <c r="C25">
        <v>560.00000000000034</v>
      </c>
      <c r="D25">
        <v>15.573983036625281</v>
      </c>
      <c r="E25">
        <v>560.00000000000034</v>
      </c>
      <c r="F25">
        <v>38.968133256009885</v>
      </c>
      <c r="G25">
        <v>560.00000000000034</v>
      </c>
      <c r="H25">
        <v>69.885621401010866</v>
      </c>
      <c r="I25">
        <v>560.00000000000034</v>
      </c>
      <c r="J25">
        <v>102.956457415587</v>
      </c>
    </row>
    <row r="26" spans="1:10" x14ac:dyDescent="0.3">
      <c r="A26">
        <v>576.00000000000045</v>
      </c>
      <c r="B26">
        <v>3.528686559458345</v>
      </c>
      <c r="C26">
        <v>576.00000000000045</v>
      </c>
      <c r="D26">
        <v>15.674275406926519</v>
      </c>
      <c r="E26">
        <v>576.00000000000045</v>
      </c>
      <c r="F26">
        <v>39.177895146069794</v>
      </c>
      <c r="G26">
        <v>576.00000000000045</v>
      </c>
      <c r="H26">
        <v>70.237803387423767</v>
      </c>
      <c r="I26">
        <v>576.00000000000045</v>
      </c>
      <c r="J26">
        <v>103.482240057448</v>
      </c>
    </row>
    <row r="27" spans="1:10" x14ac:dyDescent="0.3">
      <c r="A27">
        <v>592.00000000000045</v>
      </c>
      <c r="B27">
        <v>3.5590369508966848</v>
      </c>
      <c r="C27">
        <v>592.00000000000045</v>
      </c>
      <c r="D27">
        <v>15.773413582851749</v>
      </c>
      <c r="E27">
        <v>592.00000000000045</v>
      </c>
      <c r="F27">
        <v>39.38336820172389</v>
      </c>
      <c r="G27">
        <v>592.00000000000045</v>
      </c>
      <c r="H27">
        <v>70.579180176033603</v>
      </c>
      <c r="I27">
        <v>592.00000000000045</v>
      </c>
      <c r="J27">
        <v>103.9871317088196</v>
      </c>
    </row>
  </sheetData>
  <mergeCells count="2">
    <mergeCell ref="L10:O10"/>
    <mergeCell ref="L11:O11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8ED-94D5-4304-945C-CE37FBCFC485}">
  <sheetPr codeName="Foaie7"/>
  <dimension ref="A1:R22"/>
  <sheetViews>
    <sheetView topLeftCell="K1" workbookViewId="0">
      <selection activeCell="L2" sqref="L2"/>
    </sheetView>
  </sheetViews>
  <sheetFormatPr defaultRowHeight="14.4" x14ac:dyDescent="0.3"/>
  <cols>
    <col min="1" max="1" width="6.21875" hidden="1" customWidth="1"/>
    <col min="2" max="2" width="31.109375" hidden="1" customWidth="1"/>
    <col min="3" max="3" width="8.21875" hidden="1" customWidth="1"/>
    <col min="4" max="4" width="31.109375" hidden="1" customWidth="1"/>
    <col min="5" max="5" width="8.21875" hidden="1" customWidth="1"/>
    <col min="6" max="6" width="31.109375" hidden="1" customWidth="1"/>
    <col min="7" max="7" width="8.21875" hidden="1" customWidth="1"/>
    <col min="8" max="8" width="31.109375" hidden="1" customWidth="1"/>
    <col min="9" max="9" width="8.21875" hidden="1" customWidth="1"/>
    <col min="10" max="10" width="29.5546875" hidden="1" customWidth="1"/>
    <col min="12" max="16" width="13.77734375" customWidth="1"/>
  </cols>
  <sheetData>
    <row r="1" spans="1:18" ht="16.2" x14ac:dyDescent="0.3">
      <c r="A1" s="1" t="s">
        <v>25</v>
      </c>
      <c r="B1" s="1" t="s">
        <v>23</v>
      </c>
      <c r="C1" s="1" t="s">
        <v>25</v>
      </c>
      <c r="D1" s="1" t="s">
        <v>23</v>
      </c>
      <c r="E1" s="1" t="s">
        <v>25</v>
      </c>
      <c r="F1" s="1" t="s">
        <v>23</v>
      </c>
      <c r="G1" s="1" t="s">
        <v>25</v>
      </c>
      <c r="H1" s="1" t="s">
        <v>23</v>
      </c>
      <c r="I1" s="1" t="s">
        <v>25</v>
      </c>
      <c r="J1" s="1" t="s">
        <v>23</v>
      </c>
      <c r="L1" s="1" t="s">
        <v>25</v>
      </c>
      <c r="M1" s="5" t="s">
        <v>84</v>
      </c>
      <c r="N1" s="1" t="s">
        <v>23</v>
      </c>
      <c r="O1" s="5" t="s">
        <v>87</v>
      </c>
      <c r="P1" s="1" t="s">
        <v>25</v>
      </c>
    </row>
    <row r="2" spans="1:18" ht="15.6" x14ac:dyDescent="0.3">
      <c r="A2" t="s">
        <v>0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t="s">
        <v>55</v>
      </c>
      <c r="J2" t="s">
        <v>56</v>
      </c>
      <c r="L2" s="22" t="s">
        <v>82</v>
      </c>
      <c r="M2" s="22" t="s">
        <v>26</v>
      </c>
      <c r="N2" s="22" t="s">
        <v>85</v>
      </c>
      <c r="O2" s="22" t="s">
        <v>86</v>
      </c>
      <c r="P2" s="22" t="s">
        <v>83</v>
      </c>
      <c r="R2" s="9" t="s">
        <v>57</v>
      </c>
    </row>
    <row r="3" spans="1:18" x14ac:dyDescent="0.3">
      <c r="A3">
        <v>400.00000000000017</v>
      </c>
      <c r="B3">
        <v>0.68601302860120439</v>
      </c>
      <c r="C3">
        <v>400.00000000000017</v>
      </c>
      <c r="D3">
        <v>0.79163179035356268</v>
      </c>
      <c r="E3">
        <v>400.00000000000017</v>
      </c>
      <c r="F3">
        <v>0.92343997318642768</v>
      </c>
      <c r="G3">
        <v>400.00000000000017</v>
      </c>
      <c r="H3">
        <v>1.092062339186552</v>
      </c>
      <c r="I3">
        <v>400.00000000000017</v>
      </c>
      <c r="J3">
        <v>1.3151998833814431</v>
      </c>
      <c r="L3">
        <v>0</v>
      </c>
      <c r="M3">
        <f>SLOPE(Gamma[Square_root_of_Id_at_Vbs_0V],Gamma[Vgs_4])</f>
        <v>6.6350634479334855E-3</v>
      </c>
      <c r="N3">
        <f>INTERCEPT(Gamma[Square_root_of_Id_at_Vbs_0V],Gamma[Vgs_4])</f>
        <v>-1.3436025603818154</v>
      </c>
      <c r="O3">
        <f>2*M3*M3*10^6</f>
        <v>88.048133916205984</v>
      </c>
      <c r="P3">
        <f>ABS(N3/M3)</f>
        <v>202.5003334068019</v>
      </c>
      <c r="R3" s="7">
        <f>SLOPE(Results_for_Gamma[VT0],Results_for_Gamma[Vbs])</f>
        <v>0.1024323285824339</v>
      </c>
    </row>
    <row r="4" spans="1:18" x14ac:dyDescent="0.3">
      <c r="A4">
        <v>410.00000000000017</v>
      </c>
      <c r="B4">
        <v>0.73445475237999658</v>
      </c>
      <c r="C4">
        <v>410.00000000000017</v>
      </c>
      <c r="D4">
        <v>0.84370974943531629</v>
      </c>
      <c r="E4">
        <v>410.00000000000017</v>
      </c>
      <c r="F4">
        <v>0.97940648860005464</v>
      </c>
      <c r="G4">
        <v>410.00000000000017</v>
      </c>
      <c r="H4">
        <v>1.1521081835709721</v>
      </c>
      <c r="I4">
        <v>410.00000000000017</v>
      </c>
      <c r="J4">
        <v>1.379350206081416</v>
      </c>
      <c r="L4">
        <v>200</v>
      </c>
      <c r="M4">
        <f>SLOPE(Gamma[Square_root_of_Id_at_Vbs_0.2V],Gamma[Vgs_3])</f>
        <v>6.4537403640884733E-3</v>
      </c>
      <c r="N4">
        <f>INTERCEPT(Gamma[Square_root_of_Id_at_Vbs_0.2V],Gamma[Vgs_3])</f>
        <v>-1.5008062025936111</v>
      </c>
      <c r="O4">
        <f>2*M4*M4*10^6</f>
        <v>83.301529374129643</v>
      </c>
      <c r="P4">
        <f>ABS(N4/M4)</f>
        <v>232.54827711148326</v>
      </c>
    </row>
    <row r="5" spans="1:18" x14ac:dyDescent="0.3">
      <c r="A5">
        <v>420.00000000000023</v>
      </c>
      <c r="B5">
        <v>0.78429482646521675</v>
      </c>
      <c r="C5">
        <v>420.00000000000023</v>
      </c>
      <c r="D5">
        <v>0.89704834740146155</v>
      </c>
      <c r="E5">
        <v>420.00000000000023</v>
      </c>
      <c r="F5">
        <v>1.0364482260429499</v>
      </c>
      <c r="G5">
        <v>420.00000000000023</v>
      </c>
      <c r="H5">
        <v>1.2129825144116551</v>
      </c>
      <c r="I5">
        <v>420.00000000000023</v>
      </c>
      <c r="J5">
        <v>1.4440029899185609</v>
      </c>
      <c r="L5">
        <v>400</v>
      </c>
      <c r="M5">
        <f>SLOPE(Gamma[Square_root_of_Id_at_Vbs_0.4V],Gamma[Vgs_2])</f>
        <v>6.2345094844196503E-3</v>
      </c>
      <c r="N5">
        <f>INTERCEPT(Gamma[Square_root_of_Id_at_Vbs_0.4V],Gamma[Vgs_2])</f>
        <v>-1.5873286344920159</v>
      </c>
      <c r="O5">
        <f>2*M5*M5*10^6</f>
        <v>77.738217022637144</v>
      </c>
      <c r="P5">
        <f>ABS(N5/M5)</f>
        <v>254.60361211396489</v>
      </c>
    </row>
    <row r="6" spans="1:18" x14ac:dyDescent="0.3">
      <c r="A6">
        <v>430.00000000000023</v>
      </c>
      <c r="B6">
        <v>0.83545577301368967</v>
      </c>
      <c r="C6">
        <v>430.00000000000023</v>
      </c>
      <c r="D6">
        <v>0.95156629755433653</v>
      </c>
      <c r="E6">
        <v>430.00000000000023</v>
      </c>
      <c r="F6">
        <v>1.0944835233407719</v>
      </c>
      <c r="G6">
        <v>430.00000000000023</v>
      </c>
      <c r="H6">
        <v>1.274608827056718</v>
      </c>
      <c r="I6">
        <v>430.00000000000023</v>
      </c>
      <c r="J6">
        <v>1.5090958108976631</v>
      </c>
      <c r="L6">
        <v>600</v>
      </c>
      <c r="M6">
        <f>SLOPE(Gamma[Square_root_of_Id_at_Vbs_0.6V],Gamma[Vgs_1])</f>
        <v>5.9998920137994561E-3</v>
      </c>
      <c r="N6">
        <f>INTERCEPT(Gamma[Square_root_of_Id_at_Vbs_0.6V],Gamma[Vgs_1])</f>
        <v>-1.6299841409885119</v>
      </c>
      <c r="O6">
        <f>2*M6*M6*10^6</f>
        <v>71.997408354508991</v>
      </c>
      <c r="P6">
        <f>ABS(N6/M6)</f>
        <v>271.66891291370388</v>
      </c>
    </row>
    <row r="7" spans="1:18" x14ac:dyDescent="0.3">
      <c r="A7">
        <v>440.00000000000023</v>
      </c>
      <c r="B7">
        <v>0.88785989614586414</v>
      </c>
      <c r="C7">
        <v>440.00000000000023</v>
      </c>
      <c r="D7">
        <v>1.0071834354382641</v>
      </c>
      <c r="E7">
        <v>440.00000000000023</v>
      </c>
      <c r="F7">
        <v>1.1534331525226531</v>
      </c>
      <c r="G7">
        <v>440.00000000000023</v>
      </c>
      <c r="H7">
        <v>1.336914123711348</v>
      </c>
      <c r="I7">
        <v>440.00000000000023</v>
      </c>
      <c r="J7">
        <v>1.5745701721171161</v>
      </c>
      <c r="L7">
        <v>800</v>
      </c>
      <c r="M7">
        <f>SLOPE(Gamma[Square_root_of_Id_at_Vbs_0.8V],Gamma[Vgs])</f>
        <v>5.7615995944320288E-3</v>
      </c>
      <c r="N7">
        <f>INTERCEPT(Gamma[Square_root_of_Id_at_Vbs_0.8V],Gamma[Vgs])</f>
        <v>-1.6442011819602611</v>
      </c>
      <c r="O7">
        <f>2*M7*M7*10^6</f>
        <v>66.392059773118632</v>
      </c>
      <c r="P7">
        <f>ABS(N7/M7)</f>
        <v>285.37234408812549</v>
      </c>
    </row>
    <row r="8" spans="1:18" x14ac:dyDescent="0.3">
      <c r="A8">
        <v>450.00000000000017</v>
      </c>
      <c r="B8">
        <v>0.94142982700592182</v>
      </c>
      <c r="C8">
        <v>450.00000000000017</v>
      </c>
      <c r="D8">
        <v>1.0638211158926538</v>
      </c>
      <c r="E8">
        <v>450.00000000000017</v>
      </c>
      <c r="F8">
        <v>1.2132205209989761</v>
      </c>
      <c r="G8">
        <v>450.00000000000017</v>
      </c>
      <c r="H8">
        <v>1.3998288782421571</v>
      </c>
      <c r="I8">
        <v>450.00000000000017</v>
      </c>
      <c r="J8">
        <v>1.6403712228226099</v>
      </c>
    </row>
    <row r="9" spans="1:18" x14ac:dyDescent="0.3">
      <c r="A9">
        <v>460.00000000000017</v>
      </c>
      <c r="B9">
        <v>0.99608900028529734</v>
      </c>
      <c r="C9">
        <v>460.00000000000017</v>
      </c>
      <c r="D9">
        <v>1.1214025469669691</v>
      </c>
      <c r="E9">
        <v>460.00000000000017</v>
      </c>
      <c r="F9">
        <v>1.2737718266367781</v>
      </c>
      <c r="G9">
        <v>460.00000000000017</v>
      </c>
      <c r="H9">
        <v>1.46328698723902</v>
      </c>
      <c r="I9">
        <v>460.00000000000017</v>
      </c>
      <c r="J9">
        <v>1.7064475140512929</v>
      </c>
    </row>
    <row r="10" spans="1:18" x14ac:dyDescent="0.3">
      <c r="A10">
        <v>470.00000000000028</v>
      </c>
      <c r="B10">
        <v>1.0517620642818879</v>
      </c>
      <c r="C10">
        <v>470.00000000000028</v>
      </c>
      <c r="D10">
        <v>1.179853064877793</v>
      </c>
      <c r="E10">
        <v>470.00000000000028</v>
      </c>
      <c r="F10">
        <v>1.3350161711948061</v>
      </c>
      <c r="G10">
        <v>470.00000000000028</v>
      </c>
      <c r="H10">
        <v>1.52722570884229</v>
      </c>
      <c r="I10">
        <v>470.00000000000028</v>
      </c>
      <c r="J10">
        <v>1.772750784185549</v>
      </c>
    </row>
    <row r="11" spans="1:18" x14ac:dyDescent="0.3">
      <c r="A11">
        <v>480.00000000000034</v>
      </c>
      <c r="B11">
        <v>1.108375228898645</v>
      </c>
      <c r="C11">
        <v>480.00000000000034</v>
      </c>
      <c r="D11">
        <v>1.2391003555932241</v>
      </c>
      <c r="E11">
        <v>480.00000000000034</v>
      </c>
      <c r="F11">
        <v>1.396885637234935</v>
      </c>
      <c r="G11">
        <v>480.00000000000034</v>
      </c>
      <c r="H11">
        <v>1.5915855912602279</v>
      </c>
      <c r="I11">
        <v>480.00000000000034</v>
      </c>
      <c r="J11">
        <v>1.8392357690440941</v>
      </c>
    </row>
    <row r="12" spans="1:18" x14ac:dyDescent="0.3">
      <c r="A12">
        <v>490.00000000000034</v>
      </c>
      <c r="B12">
        <v>1.1658565563175329</v>
      </c>
      <c r="C12">
        <v>490.00000000000034</v>
      </c>
      <c r="D12">
        <v>1.299074628469028</v>
      </c>
      <c r="E12">
        <v>490.00000000000034</v>
      </c>
      <c r="F12">
        <v>1.459315333153157</v>
      </c>
      <c r="G12">
        <v>490.00000000000034</v>
      </c>
      <c r="H12">
        <v>1.6563103925742459</v>
      </c>
      <c r="I12">
        <v>490.00000000000034</v>
      </c>
      <c r="J12">
        <v>1.905860031891486</v>
      </c>
    </row>
    <row r="13" spans="1:18" x14ac:dyDescent="0.3">
      <c r="A13">
        <v>500.00000000000023</v>
      </c>
      <c r="B13">
        <v>1.2241361991672151</v>
      </c>
      <c r="C13">
        <v>500.00000000000023</v>
      </c>
      <c r="D13">
        <v>1.359708747075435</v>
      </c>
      <c r="E13">
        <v>500.00000000000023</v>
      </c>
      <c r="F13">
        <v>1.5222434105029561</v>
      </c>
      <c r="G13">
        <v>500.00000000000023</v>
      </c>
      <c r="H13">
        <v>1.7213469931824881</v>
      </c>
      <c r="I13">
        <v>500.00000000000023</v>
      </c>
      <c r="J13">
        <v>1.9725838094859651</v>
      </c>
    </row>
    <row r="14" spans="1:18" x14ac:dyDescent="0.3">
      <c r="A14">
        <v>510.00000000000023</v>
      </c>
      <c r="B14">
        <v>1.283146590978375</v>
      </c>
      <c r="C14">
        <v>510.00000000000023</v>
      </c>
      <c r="D14">
        <v>1.4209383220473022</v>
      </c>
      <c r="E14">
        <v>510.00000000000023</v>
      </c>
      <c r="F14">
        <v>1.58561105737307</v>
      </c>
      <c r="G14">
        <v>510.00000000000023</v>
      </c>
      <c r="H14">
        <v>1.786645302070591</v>
      </c>
      <c r="I14">
        <v>510.00000000000023</v>
      </c>
      <c r="J14">
        <v>2.039369870986905</v>
      </c>
    </row>
    <row r="15" spans="1:18" x14ac:dyDescent="0.3">
      <c r="A15">
        <v>520.00000000000023</v>
      </c>
      <c r="B15">
        <v>1.3428225936194711</v>
      </c>
      <c r="C15">
        <v>520.00000000000023</v>
      </c>
      <c r="D15">
        <v>1.482701770476285</v>
      </c>
      <c r="E15">
        <v>520.00000000000023</v>
      </c>
      <c r="F15">
        <v>1.649362471219642</v>
      </c>
      <c r="G15">
        <v>520.00000000000023</v>
      </c>
      <c r="H15">
        <v>1.8521581579907471</v>
      </c>
      <c r="I15">
        <v>520.00000000000023</v>
      </c>
      <c r="J15">
        <v>2.1061833871755793</v>
      </c>
    </row>
    <row r="16" spans="1:18" x14ac:dyDescent="0.3">
      <c r="A16">
        <v>530.00000000000023</v>
      </c>
      <c r="B16">
        <v>1.4031016062458721</v>
      </c>
      <c r="C16">
        <v>530.00000000000023</v>
      </c>
      <c r="D16">
        <v>1.5449403460464699</v>
      </c>
      <c r="E16">
        <v>530.00000000000023</v>
      </c>
      <c r="F16">
        <v>1.7134448142283389</v>
      </c>
      <c r="G16">
        <v>530.00000000000023</v>
      </c>
      <c r="H16">
        <v>1.9178412265520901</v>
      </c>
      <c r="I16">
        <v>530.00000000000023</v>
      </c>
      <c r="J16">
        <v>2.1729918079915858</v>
      </c>
    </row>
    <row r="17" spans="1:10" x14ac:dyDescent="0.3">
      <c r="A17">
        <v>540.00000000000023</v>
      </c>
      <c r="B17">
        <v>1.4639236400911859</v>
      </c>
      <c r="C17">
        <v>540.00000000000023</v>
      </c>
      <c r="D17">
        <v>1.607598143798308</v>
      </c>
      <c r="E17">
        <v>540.00000000000023</v>
      </c>
      <c r="F17">
        <v>1.777808153986659</v>
      </c>
      <c r="G17">
        <v>540.00000000000023</v>
      </c>
      <c r="H17">
        <v>1.983652894161672</v>
      </c>
      <c r="I17">
        <v>540.00000000000023</v>
      </c>
      <c r="J17">
        <v>2.239764746849187</v>
      </c>
    </row>
    <row r="18" spans="1:10" x14ac:dyDescent="0.3">
      <c r="A18">
        <v>550.00000000000023</v>
      </c>
      <c r="B18">
        <v>1.525231363193843</v>
      </c>
      <c r="C18">
        <v>550.00000000000023</v>
      </c>
      <c r="D18">
        <v>1.6706220830934559</v>
      </c>
      <c r="E18">
        <v>550.00000000000023</v>
      </c>
      <c r="F18">
        <v>1.8424053919750629</v>
      </c>
      <c r="G18">
        <v>550.00000000000023</v>
      </c>
      <c r="H18">
        <v>2.049554159697327</v>
      </c>
      <c r="I18">
        <v>550.00000000000023</v>
      </c>
      <c r="J18">
        <v>2.3064738705775039</v>
      </c>
    </row>
    <row r="19" spans="1:10" x14ac:dyDescent="0.3">
      <c r="A19">
        <v>560.00000000000023</v>
      </c>
      <c r="B19">
        <v>1.5869701188958321</v>
      </c>
      <c r="C19">
        <v>560.00000000000023</v>
      </c>
      <c r="D19">
        <v>1.7339618720489549</v>
      </c>
      <c r="E19">
        <v>560.00000000000023</v>
      </c>
      <c r="F19">
        <v>1.9071921821348878</v>
      </c>
      <c r="G19">
        <v>560.00000000000023</v>
      </c>
      <c r="H19">
        <v>2.115508524736406</v>
      </c>
      <c r="I19">
        <v>560.00000000000023</v>
      </c>
      <c r="J19">
        <v>2.3730927941341249</v>
      </c>
    </row>
    <row r="20" spans="1:10" x14ac:dyDescent="0.3">
      <c r="A20">
        <v>570.00000000000023</v>
      </c>
      <c r="B20">
        <v>1.649087921683323</v>
      </c>
      <c r="C20">
        <v>570.00000000000023</v>
      </c>
      <c r="D20">
        <v>1.7975699564163239</v>
      </c>
      <c r="E20">
        <v>570.00000000000023</v>
      </c>
      <c r="F20">
        <v>1.9721268415390159</v>
      </c>
      <c r="G20">
        <v>570.00000000000023</v>
      </c>
      <c r="H20">
        <v>2.1814818831064682</v>
      </c>
      <c r="I20">
        <v>570.00000000000023</v>
      </c>
      <c r="J20">
        <v>2.4395969794828232</v>
      </c>
    </row>
    <row r="21" spans="1:10" x14ac:dyDescent="0.3">
      <c r="A21">
        <v>580.00000000000034</v>
      </c>
      <c r="B21">
        <v>1.711535433667591</v>
      </c>
      <c r="C21">
        <v>580.00000000000034</v>
      </c>
      <c r="D21">
        <v>1.8614014556016889</v>
      </c>
      <c r="E21">
        <v>580.00000000000034</v>
      </c>
      <c r="F21">
        <v>2.0371702549768598</v>
      </c>
      <c r="G21">
        <v>580.00000000000034</v>
      </c>
      <c r="H21">
        <v>2.2474424104641129</v>
      </c>
      <c r="I21">
        <v>580.00000000000034</v>
      </c>
      <c r="J21">
        <v>2.5059636382127697</v>
      </c>
    </row>
    <row r="22" spans="1:10" x14ac:dyDescent="0.3">
      <c r="A22">
        <v>590.00000000000034</v>
      </c>
      <c r="B22">
        <v>1.774265924733915</v>
      </c>
      <c r="C22">
        <v>590.00000000000034</v>
      </c>
      <c r="D22">
        <v>1.9254140882575561</v>
      </c>
      <c r="E22">
        <v>590.00000000000034</v>
      </c>
      <c r="F22">
        <v>2.10228577506623</v>
      </c>
      <c r="G22">
        <v>590.00000000000034</v>
      </c>
      <c r="H22">
        <v>2.3133604545465891</v>
      </c>
      <c r="I22">
        <v>590.00000000000034</v>
      </c>
      <c r="J22">
        <v>2.572171637617541</v>
      </c>
    </row>
  </sheetData>
  <pageMargins left="0.7" right="0.7" top="0.75" bottom="0.75" header="0.3" footer="0.3"/>
  <ignoredErrors>
    <ignoredError sqref="N4:N7" calculatedColumn="1"/>
  </ignoredErrors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3E66E-FCEB-41ED-8689-271F1C4AE328}">
  <sheetPr codeName="Foaie8"/>
  <dimension ref="A1:T19"/>
  <sheetViews>
    <sheetView topLeftCell="K1" workbookViewId="0">
      <selection activeCell="Q2" sqref="Q2"/>
    </sheetView>
  </sheetViews>
  <sheetFormatPr defaultRowHeight="14.4" x14ac:dyDescent="0.3"/>
  <cols>
    <col min="1" max="1" width="17.77734375" hidden="1" customWidth="1"/>
    <col min="2" max="2" width="12.77734375" hidden="1" customWidth="1"/>
    <col min="3" max="3" width="17.6640625" hidden="1" customWidth="1"/>
    <col min="4" max="4" width="12.88671875" hidden="1" customWidth="1"/>
    <col min="5" max="5" width="17.77734375" hidden="1" customWidth="1"/>
    <col min="6" max="6" width="12.77734375" hidden="1" customWidth="1"/>
    <col min="7" max="7" width="17.77734375" hidden="1" customWidth="1"/>
    <col min="8" max="8" width="12.77734375" hidden="1" customWidth="1"/>
    <col min="9" max="9" width="17.88671875" hidden="1" customWidth="1"/>
    <col min="10" max="10" width="12.77734375" hidden="1" customWidth="1"/>
    <col min="12" max="12" width="0" hidden="1" customWidth="1"/>
    <col min="13" max="14" width="12" hidden="1" customWidth="1"/>
    <col min="15" max="15" width="12.6640625" hidden="1" customWidth="1"/>
    <col min="16" max="16" width="12" hidden="1" customWidth="1"/>
    <col min="17" max="20" width="13.33203125" customWidth="1"/>
    <col min="22" max="25" width="13.77734375" customWidth="1"/>
    <col min="27" max="28" width="8.88671875" customWidth="1"/>
    <col min="29" max="32" width="13.77734375" customWidth="1"/>
    <col min="36" max="36" width="8.88671875" customWidth="1"/>
  </cols>
  <sheetData>
    <row r="1" spans="1:20" x14ac:dyDescent="0.3">
      <c r="A1" s="1" t="s">
        <v>25</v>
      </c>
      <c r="B1" s="1" t="s">
        <v>22</v>
      </c>
      <c r="C1" s="1" t="s">
        <v>25</v>
      </c>
      <c r="D1" s="1" t="s">
        <v>22</v>
      </c>
      <c r="E1" s="1" t="s">
        <v>25</v>
      </c>
      <c r="F1" s="1" t="s">
        <v>22</v>
      </c>
      <c r="G1" s="1" t="s">
        <v>25</v>
      </c>
      <c r="H1" s="1" t="s">
        <v>22</v>
      </c>
      <c r="I1" s="1" t="s">
        <v>25</v>
      </c>
      <c r="J1" s="1" t="s">
        <v>22</v>
      </c>
    </row>
    <row r="2" spans="1:20" ht="16.2" x14ac:dyDescent="0.3">
      <c r="A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L2" t="s">
        <v>24</v>
      </c>
      <c r="M2" t="s">
        <v>42</v>
      </c>
      <c r="N2" t="s">
        <v>32</v>
      </c>
      <c r="O2" t="s">
        <v>33</v>
      </c>
      <c r="P2" t="s">
        <v>34</v>
      </c>
      <c r="Q2" s="6" t="s">
        <v>40</v>
      </c>
      <c r="R2" s="5" t="s">
        <v>43</v>
      </c>
      <c r="S2" s="5" t="s">
        <v>41</v>
      </c>
      <c r="T2" s="8" t="s">
        <v>47</v>
      </c>
    </row>
    <row r="3" spans="1:20" x14ac:dyDescent="0.3">
      <c r="A3">
        <v>0</v>
      </c>
      <c r="B3">
        <v>-2.4614174428885023E-7</v>
      </c>
      <c r="C3">
        <v>0</v>
      </c>
      <c r="D3">
        <v>-6.7851193454316563E-7</v>
      </c>
      <c r="E3">
        <v>0</v>
      </c>
      <c r="F3">
        <v>-1.557667690571491E-6</v>
      </c>
      <c r="G3">
        <v>0</v>
      </c>
      <c r="H3">
        <v>-3.1873081236787278E-6</v>
      </c>
      <c r="I3">
        <v>0</v>
      </c>
      <c r="J3">
        <v>-6.061677443488325E-6</v>
      </c>
      <c r="L3">
        <f>Results_for_K_and_VT0[[#This Row],[K]]</f>
        <v>924.64306218340573</v>
      </c>
      <c r="M3">
        <f>Results_for_K_and_VT0[[#This Row],[VT0]]</f>
        <v>321.19946239069884</v>
      </c>
      <c r="N3" cm="1">
        <f t="array" ref="N3:P3">LINEST(VT0_and_Vds_coeffs[Id]/10^6,(VT0_and_Vds_coeffs[Vds_at_Vgs_0.4V]/10^3)^{1,2},TRUE,FALSE)</f>
        <v>-2.3071828136262825E-4</v>
      </c>
      <c r="O3">
        <v>4.586715602737477E-5</v>
      </c>
      <c r="P3">
        <v>2.7686375160264018E-8</v>
      </c>
      <c r="Q3" s="33">
        <v>400</v>
      </c>
      <c r="R3">
        <f>(Q3-O3*10^6/4/L3)/M3</f>
        <v>1.2452934874449011</v>
      </c>
      <c r="S3">
        <f>N3*10^6/4/L3</f>
        <v>-6.2380363515036188E-2</v>
      </c>
      <c r="T3">
        <f>-1*Results_for_VT0_and_Vds_Coefs[[#This Row],[Vds_Coef]]</f>
        <v>6.2380363515036188E-2</v>
      </c>
    </row>
    <row r="4" spans="1:20" x14ac:dyDescent="0.3">
      <c r="A4">
        <v>16</v>
      </c>
      <c r="B4">
        <v>0.73022224955257564</v>
      </c>
      <c r="C4">
        <v>16</v>
      </c>
      <c r="D4">
        <v>2.3243344559139709</v>
      </c>
      <c r="E4">
        <v>16</v>
      </c>
      <c r="F4">
        <v>4.3394476263391955</v>
      </c>
      <c r="G4">
        <v>16</v>
      </c>
      <c r="H4">
        <v>6.2999605530660876</v>
      </c>
      <c r="I4">
        <v>16</v>
      </c>
      <c r="J4">
        <v>8.0350829816061538</v>
      </c>
      <c r="L4">
        <f>Results_for_K_and_VT0[[#This Row],[K]]</f>
        <v>957.78211070639713</v>
      </c>
      <c r="M4">
        <f>Results_for_K_and_VT0[[#This Row],[VT0]]</f>
        <v>320.08956653095549</v>
      </c>
      <c r="N4" cm="1">
        <f t="array" ref="N4:P4">LINEST(VT0_and_Vds_coeffs_2[Id_1]/10^6,(VT0_and_Vds_coeffs_2[Vds_at_Vgs_0.5V]/10^3)^{1,2},TRUE,FALSE)</f>
        <v>-4.9414825779063002E-4</v>
      </c>
      <c r="O4">
        <v>1.4823865836825369E-4</v>
      </c>
      <c r="P4">
        <v>5.6367769592433347E-8</v>
      </c>
      <c r="Q4" s="34">
        <v>500</v>
      </c>
      <c r="R4">
        <f>(Q4-O4*10^6/4/L4)/M4</f>
        <v>1.5619419033496991</v>
      </c>
      <c r="S4">
        <f>N4*10^6/4/L4</f>
        <v>-0.12898243041577032</v>
      </c>
      <c r="T4">
        <f>-1*Results_for_VT0_and_Vds_Coefs[[#This Row],[Vds_Coef]]</f>
        <v>0.12898243041577032</v>
      </c>
    </row>
    <row r="5" spans="1:20" x14ac:dyDescent="0.3">
      <c r="A5">
        <v>32</v>
      </c>
      <c r="B5">
        <v>1.286911936118339</v>
      </c>
      <c r="C5">
        <v>32</v>
      </c>
      <c r="D5">
        <v>4.3466052201895788</v>
      </c>
      <c r="E5">
        <v>32</v>
      </c>
      <c r="F5">
        <v>8.3436448752185086</v>
      </c>
      <c r="G5">
        <v>32</v>
      </c>
      <c r="H5">
        <v>12.282347535730649</v>
      </c>
      <c r="I5">
        <v>32</v>
      </c>
      <c r="J5">
        <v>15.78182193785246</v>
      </c>
      <c r="L5">
        <f>Results_for_K_and_VT0[[#This Row],[K]]</f>
        <v>982.77115323159046</v>
      </c>
      <c r="M5">
        <f>Results_for_K_and_VT0[[#This Row],[VT0]]</f>
        <v>318.76234679634945</v>
      </c>
      <c r="N5" cm="1">
        <f t="array" ref="N5:P5">LINEST(VT0_and_Vds_coeffs_3[Id_2]/10^6,(VT0_and_Vds_coeffs_3[Vds_at_Vgs_0.6V]/10^3)^{1,2},TRUE,FALSE)</f>
        <v>-6.6414928376298766E-4</v>
      </c>
      <c r="O5">
        <v>2.8060427167664131E-4</v>
      </c>
      <c r="P5">
        <v>3.0069520997615404E-8</v>
      </c>
      <c r="Q5" s="35">
        <v>600</v>
      </c>
      <c r="R5">
        <f>(Q5-O5*10^6/4/L5)/M5</f>
        <v>1.8820560996344751</v>
      </c>
      <c r="S5">
        <f>N5*10^6/4/L5</f>
        <v>-0.1689481019001991</v>
      </c>
      <c r="T5">
        <f>-1*Results_for_VT0_and_Vds_Coefs[[#This Row],[Vds_Coef]]</f>
        <v>0.1689481019001991</v>
      </c>
    </row>
    <row r="6" spans="1:20" x14ac:dyDescent="0.3">
      <c r="A6">
        <v>48</v>
      </c>
      <c r="B6">
        <v>1.697562600736632</v>
      </c>
      <c r="C6">
        <v>48</v>
      </c>
      <c r="D6">
        <v>6.0767905429472018</v>
      </c>
      <c r="E6">
        <v>48</v>
      </c>
      <c r="F6">
        <v>12.002678704710458</v>
      </c>
      <c r="G6">
        <v>48</v>
      </c>
      <c r="H6">
        <v>17.923372827038801</v>
      </c>
      <c r="I6">
        <v>48</v>
      </c>
      <c r="J6">
        <v>23.206708237817502</v>
      </c>
      <c r="L6">
        <f>Results_for_K_and_VT0[[#This Row],[K]]</f>
        <v>1003.0814682714146</v>
      </c>
      <c r="M6">
        <f>Results_for_K_and_VT0[[#This Row],[VT0]]</f>
        <v>317.33201819296738</v>
      </c>
      <c r="N6" cm="1">
        <f t="array" ref="N6:P6">LINEST(VT0_and_Vds_coeffs_4[Id_3]/10^6,(VT0_and_Vds_coeffs_4[Vds_at_Vgs_0.7V]/10^3)^{1,2},TRUE,FALSE)</f>
        <v>-7.5686951254736031E-4</v>
      </c>
      <c r="O6">
        <v>4.1206681370990203E-4</v>
      </c>
      <c r="P6">
        <v>-6.6961522145424891E-8</v>
      </c>
      <c r="Q6" s="14">
        <v>700</v>
      </c>
      <c r="R6">
        <f>(Q6-O6*10^6/4/L6)/M6</f>
        <v>2.2055678583889011</v>
      </c>
      <c r="S6">
        <f>N6*10^6/4/L6</f>
        <v>-0.1886361019737646</v>
      </c>
      <c r="T6">
        <f>-1*Results_for_VT0_and_Vds_Coefs[[#This Row],[Vds_Coef]]</f>
        <v>0.1886361019737646</v>
      </c>
    </row>
    <row r="7" spans="1:20" x14ac:dyDescent="0.3">
      <c r="A7">
        <v>64</v>
      </c>
      <c r="B7">
        <v>1.9903335213994411</v>
      </c>
      <c r="C7">
        <v>64</v>
      </c>
      <c r="D7">
        <v>7.5276812970310782</v>
      </c>
      <c r="E7">
        <v>64</v>
      </c>
      <c r="F7">
        <v>15.307645687876452</v>
      </c>
      <c r="G7">
        <v>64</v>
      </c>
      <c r="H7">
        <v>23.198987545935857</v>
      </c>
      <c r="I7">
        <v>64</v>
      </c>
      <c r="J7">
        <v>30.27579770285773</v>
      </c>
      <c r="L7">
        <f>Results_for_K_and_VT0[[#This Row],[K]]</f>
        <v>1020.3670505447965</v>
      </c>
      <c r="M7">
        <f>Results_for_K_and_VT0[[#This Row],[VT0]]</f>
        <v>315.84257203068785</v>
      </c>
      <c r="N7" cm="1">
        <f t="array" ref="N7:P7">LINEST(VT0_and_Vds_coeffs_5[Id_4]/10^6,(VT0_and_Vds_coeffs_5[Vds_at_Vgs_0.8V]/10^3)^{1,2},TRUE,FALSE)</f>
        <v>-8.120341454779578E-4</v>
      </c>
      <c r="O7">
        <v>5.295277450024739E-4</v>
      </c>
      <c r="P7">
        <v>-1.9377895081465409E-7</v>
      </c>
      <c r="Q7" s="35">
        <v>800</v>
      </c>
      <c r="R7">
        <f>(Q7-O7*10^6/4/L7)/M7</f>
        <v>2.532496665451077</v>
      </c>
      <c r="S7">
        <f>N7*10^6/4/L7</f>
        <v>-0.19895638168745133</v>
      </c>
      <c r="T7">
        <f>-1*Results_for_VT0_and_Vds_Coefs[[#This Row],[Vds_Coef]]</f>
        <v>0.19895638168745133</v>
      </c>
    </row>
    <row r="8" spans="1:20" x14ac:dyDescent="0.3">
      <c r="A8">
        <v>80</v>
      </c>
      <c r="B8">
        <v>2.1932014902734109</v>
      </c>
      <c r="C8">
        <v>80</v>
      </c>
      <c r="D8">
        <v>8.7172327502889217</v>
      </c>
      <c r="E8">
        <v>80</v>
      </c>
      <c r="F8">
        <v>18.25327686811293</v>
      </c>
      <c r="G8">
        <v>80</v>
      </c>
      <c r="H8">
        <v>28.086932453837509</v>
      </c>
      <c r="I8">
        <v>80</v>
      </c>
      <c r="J8">
        <v>36.956217057877289</v>
      </c>
    </row>
    <row r="9" spans="1:20" x14ac:dyDescent="0.3">
      <c r="A9">
        <v>96</v>
      </c>
      <c r="B9">
        <v>2.3321244167573267</v>
      </c>
      <c r="C9">
        <v>96</v>
      </c>
      <c r="D9">
        <v>9.6705149650521314</v>
      </c>
      <c r="E9">
        <v>96</v>
      </c>
      <c r="F9">
        <v>20.841268207209289</v>
      </c>
      <c r="G9">
        <v>96</v>
      </c>
      <c r="H9">
        <v>32.569817768376105</v>
      </c>
      <c r="I9">
        <v>96</v>
      </c>
      <c r="J9">
        <v>43.218640309089203</v>
      </c>
    </row>
    <row r="10" spans="1:20" ht="15.6" x14ac:dyDescent="0.3">
      <c r="C10">
        <v>112</v>
      </c>
      <c r="D10">
        <v>10.419966841870639</v>
      </c>
      <c r="E10">
        <v>112</v>
      </c>
      <c r="F10">
        <v>23.083125673224949</v>
      </c>
      <c r="G10">
        <v>112</v>
      </c>
      <c r="H10">
        <v>36.638408077476633</v>
      </c>
      <c r="I10">
        <v>112</v>
      </c>
      <c r="J10">
        <v>49.040180211704012</v>
      </c>
      <c r="Q10" s="40" t="s">
        <v>44</v>
      </c>
      <c r="R10" s="40"/>
      <c r="S10" s="40"/>
      <c r="T10" s="40"/>
    </row>
    <row r="11" spans="1:20" x14ac:dyDescent="0.3">
      <c r="C11">
        <v>128</v>
      </c>
      <c r="D11">
        <v>11.00325313680659</v>
      </c>
      <c r="E11">
        <v>128</v>
      </c>
      <c r="F11">
        <v>25.00137172613389</v>
      </c>
      <c r="G11">
        <v>128</v>
      </c>
      <c r="H11">
        <v>40.294203550522049</v>
      </c>
      <c r="I11">
        <v>128</v>
      </c>
      <c r="J11">
        <v>54.407079706556338</v>
      </c>
      <c r="Q11" s="40" t="s">
        <v>39</v>
      </c>
      <c r="R11" s="40"/>
      <c r="S11" s="40"/>
      <c r="T11" s="40"/>
    </row>
    <row r="12" spans="1:20" x14ac:dyDescent="0.3">
      <c r="E12">
        <v>144</v>
      </c>
      <c r="F12">
        <v>26.628397386758621</v>
      </c>
      <c r="G12">
        <v>144</v>
      </c>
      <c r="H12">
        <v>43.55048664793965</v>
      </c>
      <c r="I12">
        <v>144</v>
      </c>
      <c r="J12">
        <v>59.316564896271849</v>
      </c>
      <c r="Q12" s="2"/>
      <c r="R12" s="6" t="s">
        <v>32</v>
      </c>
      <c r="S12" s="6" t="s">
        <v>33</v>
      </c>
      <c r="T12" s="2"/>
    </row>
    <row r="13" spans="1:20" x14ac:dyDescent="0.3">
      <c r="E13">
        <v>160</v>
      </c>
      <c r="F13">
        <v>28.003115200821441</v>
      </c>
      <c r="G13">
        <v>160</v>
      </c>
      <c r="H13">
        <v>46.4313915532842</v>
      </c>
      <c r="I13">
        <v>160</v>
      </c>
      <c r="J13">
        <v>63.777346411724494</v>
      </c>
      <c r="R13" s="7" cm="1">
        <f t="array" ref="R13:S13">LINEST(Results_for_VT0_and_Vds_Coefs[VT0_Coef],(Q3:Q7)/10^3,TRUE,FALSE)</f>
        <v>3.2180323110515534</v>
      </c>
      <c r="S13" s="7">
        <v>-4.5348183777121465E-2</v>
      </c>
    </row>
    <row r="14" spans="1:20" x14ac:dyDescent="0.3">
      <c r="G14">
        <v>176</v>
      </c>
      <c r="H14">
        <v>48.969200994013249</v>
      </c>
      <c r="I14">
        <v>176</v>
      </c>
      <c r="J14">
        <v>67.808576467243867</v>
      </c>
    </row>
    <row r="15" spans="1:20" x14ac:dyDescent="0.3">
      <c r="G15">
        <v>192.00000000000009</v>
      </c>
      <c r="H15">
        <v>51.20069051427383</v>
      </c>
      <c r="I15">
        <v>192.00000000000009</v>
      </c>
      <c r="J15">
        <v>71.437511415499998</v>
      </c>
    </row>
    <row r="16" spans="1:20" ht="16.8" x14ac:dyDescent="0.35">
      <c r="I16">
        <v>208.00000000000011</v>
      </c>
      <c r="J16">
        <v>74.696504997498465</v>
      </c>
      <c r="Q16" s="41" t="s">
        <v>45</v>
      </c>
      <c r="R16" s="41"/>
      <c r="S16" s="41"/>
      <c r="T16" s="41"/>
    </row>
    <row r="17" spans="9:20" x14ac:dyDescent="0.3">
      <c r="I17">
        <v>224.00000000000009</v>
      </c>
      <c r="J17">
        <v>77.620073765029801</v>
      </c>
      <c r="Q17" s="38" t="s">
        <v>46</v>
      </c>
      <c r="R17" s="38"/>
      <c r="S17" s="38"/>
      <c r="T17" s="38"/>
    </row>
    <row r="18" spans="9:20" x14ac:dyDescent="0.3">
      <c r="I18">
        <v>240.00000000000011</v>
      </c>
      <c r="J18">
        <v>80.242588014241136</v>
      </c>
      <c r="R18" s="6" t="s">
        <v>32</v>
      </c>
      <c r="S18" s="6" t="s">
        <v>33</v>
      </c>
      <c r="T18" s="6" t="s">
        <v>34</v>
      </c>
    </row>
    <row r="19" spans="9:20" x14ac:dyDescent="0.3">
      <c r="R19" s="7" cm="1">
        <f t="array" ref="R19:T19">LINEST(-Results_for_VT0_and_Vds_Coefs[Vds_Coef],(Q3:Q7/1000)^{1,2},TRUE,FALSE)</f>
        <v>-0.94886604132112917</v>
      </c>
      <c r="S19" s="7">
        <v>1.4714449574881796</v>
      </c>
      <c r="T19" s="7">
        <v>-0.37271720289243437</v>
      </c>
    </row>
  </sheetData>
  <mergeCells count="4">
    <mergeCell ref="Q16:T16"/>
    <mergeCell ref="Q17:T17"/>
    <mergeCell ref="Q10:T10"/>
    <mergeCell ref="Q11:T11"/>
  </mergeCell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5E15B-91B0-4C5E-BD08-4E15F477F8D6}">
  <sheetPr codeName="Foaie14"/>
  <dimension ref="A1:AB53"/>
  <sheetViews>
    <sheetView tabSelected="1" topLeftCell="V1" zoomScaleNormal="100" workbookViewId="0">
      <selection activeCell="W2" sqref="W2"/>
    </sheetView>
  </sheetViews>
  <sheetFormatPr defaultRowHeight="14.4" x14ac:dyDescent="0.3"/>
  <cols>
    <col min="1" max="1" width="6.33203125" bestFit="1" customWidth="1"/>
    <col min="2" max="6" width="16.44140625" bestFit="1" customWidth="1"/>
    <col min="7" max="7" width="12.6640625" bestFit="1" customWidth="1"/>
    <col min="8" max="8" width="20.5546875" bestFit="1" customWidth="1"/>
    <col min="10" max="10" width="6.33203125" bestFit="1" customWidth="1"/>
    <col min="11" max="11" width="12.77734375" bestFit="1" customWidth="1"/>
    <col min="12" max="13" width="12" bestFit="1" customWidth="1"/>
    <col min="14" max="14" width="6.33203125" bestFit="1" customWidth="1"/>
    <col min="15" max="15" width="12.77734375" bestFit="1" customWidth="1"/>
    <col min="16" max="16" width="6.33203125" bestFit="1" customWidth="1"/>
    <col min="17" max="17" width="12.109375" bestFit="1" customWidth="1"/>
    <col min="18" max="18" width="6.33203125" bestFit="1" customWidth="1"/>
    <col min="19" max="19" width="12.109375" bestFit="1" customWidth="1"/>
    <col min="20" max="20" width="6.33203125" bestFit="1" customWidth="1"/>
    <col min="21" max="21" width="12.109375" bestFit="1" customWidth="1"/>
    <col min="23" max="23" width="25" bestFit="1" customWidth="1"/>
    <col min="25" max="27" width="8.88671875" customWidth="1"/>
  </cols>
  <sheetData>
    <row r="1" spans="1:27" x14ac:dyDescent="0.3">
      <c r="A1" s="1" t="s">
        <v>25</v>
      </c>
      <c r="B1" s="1" t="s">
        <v>22</v>
      </c>
      <c r="C1" s="1" t="s">
        <v>22</v>
      </c>
      <c r="D1" s="1" t="s">
        <v>22</v>
      </c>
      <c r="E1" s="1" t="s">
        <v>22</v>
      </c>
      <c r="F1" s="1" t="s">
        <v>22</v>
      </c>
      <c r="G1" s="1" t="s">
        <v>22</v>
      </c>
      <c r="H1" s="1" t="s">
        <v>22</v>
      </c>
      <c r="J1" s="38" t="s">
        <v>144</v>
      </c>
      <c r="K1" s="38"/>
      <c r="L1" s="38" t="s">
        <v>146</v>
      </c>
      <c r="M1" s="38"/>
      <c r="N1" s="39" t="s">
        <v>145</v>
      </c>
      <c r="O1" s="39"/>
      <c r="P1" s="39" t="s">
        <v>147</v>
      </c>
      <c r="Q1" s="39"/>
      <c r="R1" s="39" t="s">
        <v>148</v>
      </c>
      <c r="S1" s="39"/>
      <c r="T1" s="38" t="s">
        <v>149</v>
      </c>
      <c r="U1" s="38"/>
    </row>
    <row r="2" spans="1:27" x14ac:dyDescent="0.3">
      <c r="A2" t="s">
        <v>58</v>
      </c>
      <c r="B2" t="s">
        <v>59</v>
      </c>
      <c r="C2" t="s">
        <v>60</v>
      </c>
      <c r="D2" t="s">
        <v>61</v>
      </c>
      <c r="E2" t="s">
        <v>62</v>
      </c>
      <c r="F2" t="s">
        <v>63</v>
      </c>
      <c r="G2" t="s">
        <v>64</v>
      </c>
      <c r="H2" t="s">
        <v>73</v>
      </c>
      <c r="J2" t="s">
        <v>58</v>
      </c>
      <c r="K2" t="s">
        <v>3</v>
      </c>
      <c r="L2" t="s">
        <v>58</v>
      </c>
      <c r="M2" t="s">
        <v>3</v>
      </c>
      <c r="N2" t="s">
        <v>58</v>
      </c>
      <c r="O2" t="s">
        <v>3</v>
      </c>
      <c r="P2" t="s">
        <v>58</v>
      </c>
      <c r="Q2" t="s">
        <v>3</v>
      </c>
      <c r="R2" t="s">
        <v>58</v>
      </c>
      <c r="S2" t="s">
        <v>3</v>
      </c>
      <c r="T2" t="s">
        <v>58</v>
      </c>
      <c r="U2" t="s">
        <v>3</v>
      </c>
      <c r="W2" s="16" t="s">
        <v>74</v>
      </c>
      <c r="X2" s="6" t="s">
        <v>32</v>
      </c>
      <c r="Y2" s="6" t="s">
        <v>33</v>
      </c>
      <c r="Z2" s="6" t="s">
        <v>34</v>
      </c>
      <c r="AA2" s="6" t="s">
        <v>35</v>
      </c>
    </row>
    <row r="3" spans="1:27" x14ac:dyDescent="0.3">
      <c r="A3">
        <v>0</v>
      </c>
      <c r="B3">
        <v>-2.4614174428885023E-7</v>
      </c>
      <c r="C3">
        <v>-6.7851193454316563E-7</v>
      </c>
      <c r="D3">
        <v>-1.557667690571491E-6</v>
      </c>
      <c r="E3">
        <v>-3.1873081236787278E-6</v>
      </c>
      <c r="F3">
        <v>-6.061677443488325E-6</v>
      </c>
      <c r="G3">
        <f t="shared" ref="G3:G34" si="0">IF($X$9&lt;$X$10,0,IF(A3/1000&lt;$X$9*$X$3+$Y$3/1000,4*$X$11*(A3/1000)*($X$9-($X$13*$X$9+$Y$4)*$X$10-($X$5*$X$9*$X$9+$Y$5*$X$9+$Z$5)*A3/1000)*(1+A3/1000*($X$6*$X$9*$X$9*$X$9+$Y$6*$X$9*$X$9+$Z$6*$X$9+$AA$6)),($X$11/$X$12)*($X$9-$X$10)*($X$9-$X$10)*(1+A3/1000*($X$6*$X$9*$X$9*$X$9+$Y$6*$X$9*$X$9+$Z$6*$X$9+$AA$6))))</f>
        <v>0</v>
      </c>
      <c r="H3" cm="1">
        <f t="array" ref="H3">_xll.SRS1Splines.Functions25.Cubic_Spline($Z$9:$Z$13,B3:F3,$X$9)</f>
        <v>-4.2921585505219001E-7</v>
      </c>
      <c r="J3">
        <v>0</v>
      </c>
      <c r="K3">
        <v>-1.1436352553742931E-4</v>
      </c>
      <c r="L3">
        <v>1</v>
      </c>
      <c r="M3">
        <v>0.30365333778565357</v>
      </c>
      <c r="N3">
        <v>0</v>
      </c>
      <c r="O3">
        <v>-4.1996744856823949E-7</v>
      </c>
      <c r="P3">
        <v>0</v>
      </c>
      <c r="Q3">
        <v>8.6615651960483618E-8</v>
      </c>
      <c r="R3">
        <v>0</v>
      </c>
      <c r="S3">
        <v>5.8075403435367095E-12</v>
      </c>
      <c r="T3">
        <v>0</v>
      </c>
      <c r="U3">
        <v>1.938223612546719E-7</v>
      </c>
      <c r="W3" s="12" t="s">
        <v>65</v>
      </c>
      <c r="X3" s="12" cm="1">
        <f t="array" ref="X3:Y3">_xlfn.ANCHORARRAY(Vds_sat!B4)</f>
        <v>0.35200000000000031</v>
      </c>
      <c r="Y3" s="12">
        <v>-48.000000000000142</v>
      </c>
      <c r="Z3" s="14"/>
      <c r="AA3" s="13"/>
    </row>
    <row r="4" spans="1:27" x14ac:dyDescent="0.3">
      <c r="A4">
        <v>16</v>
      </c>
      <c r="B4">
        <v>0.73022224955257564</v>
      </c>
      <c r="C4">
        <v>2.3243344559139709</v>
      </c>
      <c r="D4">
        <v>4.3394476263391955</v>
      </c>
      <c r="E4">
        <v>6.2999605530660876</v>
      </c>
      <c r="F4">
        <v>8.0350829816061538</v>
      </c>
      <c r="G4">
        <f t="shared" si="0"/>
        <v>1.3775324321273934</v>
      </c>
      <c r="H4" cm="1">
        <f t="array" ref="H4">_xll.SRS1Splines.Functions25.Cubic_Spline($Z$9:$Z$13,B4:F4,$X$9)</f>
        <v>1.48503711431209</v>
      </c>
      <c r="J4">
        <v>16</v>
      </c>
      <c r="K4">
        <v>0.47380336007550933</v>
      </c>
      <c r="L4">
        <v>1.143040976988106</v>
      </c>
      <c r="M4">
        <v>0.34704480910958868</v>
      </c>
      <c r="N4">
        <v>16</v>
      </c>
      <c r="O4">
        <v>1.4340993910557449</v>
      </c>
      <c r="P4">
        <v>16</v>
      </c>
      <c r="Q4">
        <v>0.30466334718299409</v>
      </c>
      <c r="R4">
        <v>16</v>
      </c>
      <c r="S4">
        <v>0.73075843230226567</v>
      </c>
      <c r="T4">
        <v>16</v>
      </c>
      <c r="U4">
        <v>1.694662859387283</v>
      </c>
      <c r="W4" s="14" t="s">
        <v>66</v>
      </c>
      <c r="X4" s="14" cm="1">
        <f t="array" ref="X4:Y4">_xlfn.ANCHORARRAY(VT0_and_Vds_coeffs!R13)</f>
        <v>3.2180323110515534</v>
      </c>
      <c r="Y4" s="14">
        <v>-4.5348183777121465E-2</v>
      </c>
      <c r="Z4" s="14"/>
      <c r="AA4" s="13"/>
    </row>
    <row r="5" spans="1:27" x14ac:dyDescent="0.3">
      <c r="A5">
        <v>32</v>
      </c>
      <c r="B5">
        <v>1.286911936118339</v>
      </c>
      <c r="C5">
        <v>4.3466052201895788</v>
      </c>
      <c r="D5">
        <v>8.3436448752185086</v>
      </c>
      <c r="E5">
        <v>12.282347535730649</v>
      </c>
      <c r="F5">
        <v>15.78182193785246</v>
      </c>
      <c r="G5">
        <f t="shared" si="0"/>
        <v>2.5934430940243622</v>
      </c>
      <c r="H5" cm="1">
        <f t="array" ref="H5">_xll.SRS1Splines.Functions25.Cubic_Spline($Z$9:$Z$13,B5:F5,$X$9)</f>
        <v>2.7239841454483198</v>
      </c>
      <c r="J5">
        <v>32</v>
      </c>
      <c r="K5">
        <v>0.89636082612319445</v>
      </c>
      <c r="L5">
        <v>1.3065426750739229</v>
      </c>
      <c r="M5">
        <v>0.39662959459799663</v>
      </c>
      <c r="N5">
        <v>32</v>
      </c>
      <c r="O5">
        <v>2.6180879589164521</v>
      </c>
      <c r="P5">
        <v>32</v>
      </c>
      <c r="Q5">
        <v>0.55522085734612781</v>
      </c>
      <c r="R5">
        <v>32</v>
      </c>
      <c r="S5">
        <v>1.064591799770525</v>
      </c>
      <c r="T5">
        <v>32</v>
      </c>
      <c r="U5">
        <v>3.1506332870441058</v>
      </c>
      <c r="W5" s="12" t="s">
        <v>67</v>
      </c>
      <c r="X5" s="12" cm="1">
        <f t="array" ref="X5:Z5">_xlfn.ANCHORARRAY(VT0_and_Vds_coeffs!R19)</f>
        <v>-0.94886604132112917</v>
      </c>
      <c r="Y5" s="12">
        <v>1.4714449574881796</v>
      </c>
      <c r="Z5" s="12">
        <v>-0.37271720289243437</v>
      </c>
      <c r="AA5" s="13"/>
    </row>
    <row r="6" spans="1:27" x14ac:dyDescent="0.3">
      <c r="A6">
        <v>48</v>
      </c>
      <c r="B6">
        <v>1.697562600736632</v>
      </c>
      <c r="C6">
        <v>6.0767905429472018</v>
      </c>
      <c r="D6">
        <v>12.002678704710458</v>
      </c>
      <c r="E6">
        <v>17.923372827038801</v>
      </c>
      <c r="F6">
        <v>23.206708237817502</v>
      </c>
      <c r="G6">
        <f t="shared" si="0"/>
        <v>3.6405833485282635</v>
      </c>
      <c r="H6" cm="1">
        <f t="array" ref="H6">_xll.SRS1Splines.Functions25.Cubic_Spline($Z$9:$Z$13,B6:F6,$X$9)</f>
        <v>3.73594897760433</v>
      </c>
      <c r="J6">
        <v>48</v>
      </c>
      <c r="K6">
        <v>1.267581039264875</v>
      </c>
      <c r="L6">
        <v>1.493431815793151</v>
      </c>
      <c r="M6">
        <v>0.4532894163578865</v>
      </c>
      <c r="N6">
        <v>48</v>
      </c>
      <c r="O6">
        <v>3.572466204322414</v>
      </c>
      <c r="P6">
        <v>48</v>
      </c>
      <c r="Q6">
        <v>0.75252824763479287</v>
      </c>
      <c r="R6">
        <v>48</v>
      </c>
      <c r="S6">
        <v>1.183137911517923</v>
      </c>
      <c r="T6">
        <v>48</v>
      </c>
      <c r="U6">
        <v>4.3727195840800013</v>
      </c>
      <c r="W6" s="14" t="s">
        <v>68</v>
      </c>
      <c r="X6" s="14" cm="1">
        <f t="array" ref="X6:AA6">_xlfn.ANCHORARRAY(Lambda!L13)</f>
        <v>-13.204928572152614</v>
      </c>
      <c r="Y6" s="14">
        <v>30.235379398305295</v>
      </c>
      <c r="Z6" s="14">
        <v>-21.077760643194292</v>
      </c>
      <c r="AA6" s="13">
        <v>5.3460456747962102</v>
      </c>
    </row>
    <row r="7" spans="1:27" x14ac:dyDescent="0.3">
      <c r="A7">
        <v>64</v>
      </c>
      <c r="B7">
        <v>1.9903335213994411</v>
      </c>
      <c r="C7">
        <v>7.5276812970310782</v>
      </c>
      <c r="D7">
        <v>15.307645687876452</v>
      </c>
      <c r="E7">
        <v>23.198987545935857</v>
      </c>
      <c r="F7">
        <v>30.27579770285773</v>
      </c>
      <c r="G7">
        <f t="shared" si="0"/>
        <v>4.511804558476455</v>
      </c>
      <c r="H7" cm="1">
        <f t="array" ref="H7">_xll.SRS1Splines.Functions25.Cubic_Spline($Z$9:$Z$13,B7:F7,$X$9)</f>
        <v>4.5421823579325897</v>
      </c>
      <c r="J7">
        <v>64</v>
      </c>
      <c r="K7">
        <v>1.583541551766678</v>
      </c>
      <c r="L7">
        <v>1.707053761789324</v>
      </c>
      <c r="M7">
        <v>0.5180308098981905</v>
      </c>
      <c r="N7">
        <v>64</v>
      </c>
      <c r="O7">
        <v>4.3206272180252121</v>
      </c>
      <c r="P7">
        <v>64</v>
      </c>
      <c r="Q7">
        <v>0.90383053881785869</v>
      </c>
      <c r="R7">
        <v>64</v>
      </c>
      <c r="S7">
        <v>1.2491476410026061</v>
      </c>
      <c r="T7">
        <v>64</v>
      </c>
      <c r="U7">
        <v>5.3709460283852444</v>
      </c>
      <c r="X7" s="23">
        <v>175</v>
      </c>
      <c r="Y7" s="23">
        <v>5</v>
      </c>
      <c r="Z7" s="23">
        <v>206</v>
      </c>
    </row>
    <row r="8" spans="1:27" x14ac:dyDescent="0.3">
      <c r="A8">
        <v>80</v>
      </c>
      <c r="B8">
        <v>2.1932014902734109</v>
      </c>
      <c r="C8">
        <v>8.7172327502889217</v>
      </c>
      <c r="D8">
        <v>18.25327686811293</v>
      </c>
      <c r="E8">
        <v>28.086932453837509</v>
      </c>
      <c r="F8">
        <v>36.956217057877289</v>
      </c>
      <c r="G8">
        <f t="shared" si="0"/>
        <v>5.1999580867062933</v>
      </c>
      <c r="H8" cm="1">
        <f t="array" ref="H8">_xll.SRS1Splines.Functions25.Cubic_Spline($Z$9:$Z$13,B8:F8,$X$9)</f>
        <v>5.1671007630456298</v>
      </c>
      <c r="J8">
        <v>80</v>
      </c>
      <c r="K8">
        <v>1.838806347731635</v>
      </c>
      <c r="L8">
        <v>1.9512323996468901</v>
      </c>
      <c r="M8">
        <v>0.5920025603773148</v>
      </c>
      <c r="N8">
        <v>80</v>
      </c>
      <c r="O8">
        <v>4.8900957494744777</v>
      </c>
      <c r="P8">
        <v>80</v>
      </c>
      <c r="Q8">
        <v>1.0188703389251981</v>
      </c>
      <c r="R8">
        <v>80</v>
      </c>
      <c r="S8">
        <v>1.3020464184279061</v>
      </c>
      <c r="T8">
        <v>80</v>
      </c>
      <c r="U8">
        <v>6.1638843583897414</v>
      </c>
      <c r="W8" s="15" t="s">
        <v>69</v>
      </c>
      <c r="X8" s="11"/>
      <c r="Z8" s="16" t="s">
        <v>0</v>
      </c>
    </row>
    <row r="9" spans="1:27" x14ac:dyDescent="0.3">
      <c r="A9">
        <v>96</v>
      </c>
      <c r="B9">
        <v>2.3321244167573267</v>
      </c>
      <c r="C9">
        <v>9.6705149650521314</v>
      </c>
      <c r="D9">
        <v>20.841268207209289</v>
      </c>
      <c r="E9">
        <v>32.569817768376105</v>
      </c>
      <c r="F9">
        <v>43.218640309089203</v>
      </c>
      <c r="G9">
        <f t="shared" si="0"/>
        <v>5.6978952960551368</v>
      </c>
      <c r="H9" cm="1">
        <f t="array" ref="H9">_xll.SRS1Splines.Functions25.Cubic_Spline($Z$9:$Z$13,B9:F9,$X$9)</f>
        <v>5.6385438330155999</v>
      </c>
      <c r="J9">
        <v>96</v>
      </c>
      <c r="K9">
        <v>2.0313480964568091</v>
      </c>
      <c r="L9">
        <v>2.2303385884232267</v>
      </c>
      <c r="M9">
        <v>0.6765154960931592</v>
      </c>
      <c r="N9">
        <v>96</v>
      </c>
      <c r="O9">
        <v>5.3125346744336222</v>
      </c>
      <c r="P9">
        <v>96</v>
      </c>
      <c r="Q9">
        <v>1.107124072853503</v>
      </c>
      <c r="R9">
        <v>96</v>
      </c>
      <c r="S9">
        <v>1.350986185696025</v>
      </c>
      <c r="T9">
        <v>96</v>
      </c>
      <c r="U9">
        <v>6.7796170049203051</v>
      </c>
      <c r="V9" s="10"/>
      <c r="W9" s="12" t="s">
        <v>71</v>
      </c>
      <c r="X9" s="12">
        <f>0.4+$Y$7/100</f>
        <v>0.45</v>
      </c>
      <c r="Z9" s="18">
        <v>0.4</v>
      </c>
    </row>
    <row r="10" spans="1:27" x14ac:dyDescent="0.3">
      <c r="A10">
        <v>112</v>
      </c>
      <c r="B10">
        <v>2.4289691340217829</v>
      </c>
      <c r="C10">
        <v>10.419966841870639</v>
      </c>
      <c r="D10">
        <v>23.083125673224949</v>
      </c>
      <c r="E10">
        <v>36.638408077476633</v>
      </c>
      <c r="F10">
        <v>49.040180211704012</v>
      </c>
      <c r="G10">
        <f t="shared" si="0"/>
        <v>6.3916674132287854</v>
      </c>
      <c r="H10" cm="1">
        <f t="array" ref="H10">_xll.SRS1Splines.Functions25.Cubic_Spline($Z$9:$Z$13,B10:F10,$X$9)</f>
        <v>5.9867866556406204</v>
      </c>
      <c r="J10">
        <v>112</v>
      </c>
      <c r="K10">
        <v>2.1678532635955441</v>
      </c>
      <c r="L10">
        <v>2.5493683991255578</v>
      </c>
      <c r="M10">
        <v>0.77306492914921554</v>
      </c>
      <c r="N10">
        <v>112</v>
      </c>
      <c r="O10">
        <v>5.6217622589250089</v>
      </c>
      <c r="P10">
        <v>112</v>
      </c>
      <c r="Q10">
        <v>1.1762799035276459</v>
      </c>
      <c r="R10">
        <v>112</v>
      </c>
      <c r="S10">
        <v>1.3986360136589171</v>
      </c>
      <c r="T10">
        <v>112</v>
      </c>
      <c r="U10">
        <v>7.2529163806679291</v>
      </c>
      <c r="V10" s="10"/>
      <c r="W10" s="14" t="s">
        <v>72</v>
      </c>
      <c r="X10" s="14">
        <f>K_and_VT0!P4/1000</f>
        <v>0.32008956653095549</v>
      </c>
      <c r="Z10" s="19">
        <v>0.5</v>
      </c>
    </row>
    <row r="11" spans="1:27" ht="16.2" x14ac:dyDescent="0.3">
      <c r="A11">
        <v>128</v>
      </c>
      <c r="B11">
        <v>2.5002708627079038</v>
      </c>
      <c r="C11">
        <v>11.00325313680659</v>
      </c>
      <c r="D11">
        <v>25.00137172613389</v>
      </c>
      <c r="E11">
        <v>40.294203550522049</v>
      </c>
      <c r="F11">
        <v>54.407079706556338</v>
      </c>
      <c r="G11">
        <f t="shared" si="0"/>
        <v>6.4650629555370376</v>
      </c>
      <c r="H11" cm="1">
        <f t="array" ref="H11">_xll.SRS1Splines.Functions25.Cubic_Spline($Z$9:$Z$13,B11:F11,$X$9)</f>
        <v>6.2423764900262304</v>
      </c>
      <c r="J11">
        <v>128</v>
      </c>
      <c r="K11">
        <v>2.2617902127172131</v>
      </c>
      <c r="L11">
        <v>2.9140325456390808</v>
      </c>
      <c r="M11">
        <v>0.8833560570205724</v>
      </c>
      <c r="N11">
        <v>128</v>
      </c>
      <c r="O11">
        <v>5.8501944017396834</v>
      </c>
      <c r="P11">
        <v>128</v>
      </c>
      <c r="Q11">
        <v>1.231998090992686</v>
      </c>
      <c r="R11">
        <v>128</v>
      </c>
      <c r="S11">
        <v>1.445943176515545</v>
      </c>
      <c r="T11">
        <v>128</v>
      </c>
      <c r="U11">
        <v>7.6195863125005632</v>
      </c>
      <c r="V11" s="10"/>
      <c r="W11" s="17" t="s">
        <v>75</v>
      </c>
      <c r="X11" s="12">
        <f>K_and_VT0!O4</f>
        <v>957.78211070639713</v>
      </c>
      <c r="Z11" s="20">
        <v>0.6</v>
      </c>
    </row>
    <row r="12" spans="1:27" x14ac:dyDescent="0.3">
      <c r="A12">
        <v>144</v>
      </c>
      <c r="B12">
        <v>2.5572530271952632</v>
      </c>
      <c r="C12">
        <v>11.45913641497788</v>
      </c>
      <c r="D12">
        <v>26.628397386758621</v>
      </c>
      <c r="E12">
        <v>43.55048664793965</v>
      </c>
      <c r="F12">
        <v>59.316564896271849</v>
      </c>
      <c r="G12">
        <f t="shared" si="0"/>
        <v>6.5384584978452907</v>
      </c>
      <c r="H12" cm="1">
        <f t="array" ref="H12">_xll.SRS1Splines.Functions25.Cubic_Spline($Z$9:$Z$13,B12:F12,$X$9)</f>
        <v>6.43335092919245</v>
      </c>
      <c r="J12">
        <v>144</v>
      </c>
      <c r="K12">
        <v>2.3270405910440259</v>
      </c>
      <c r="L12">
        <v>3.330858607942432</v>
      </c>
      <c r="M12">
        <v>1.0093326584446258</v>
      </c>
      <c r="N12">
        <v>144</v>
      </c>
      <c r="O12">
        <v>6.025248230067243</v>
      </c>
      <c r="P12">
        <v>144</v>
      </c>
      <c r="Q12">
        <v>1.2782573444905789</v>
      </c>
      <c r="R12">
        <v>144</v>
      </c>
      <c r="S12">
        <v>1.4932971045140819</v>
      </c>
      <c r="T12">
        <v>144</v>
      </c>
      <c r="U12">
        <v>7.910875833184547</v>
      </c>
      <c r="W12" s="14" t="s">
        <v>70</v>
      </c>
      <c r="X12" s="14">
        <f>1+$X$7/100</f>
        <v>2.75</v>
      </c>
      <c r="Z12" s="19">
        <v>0.7</v>
      </c>
    </row>
    <row r="13" spans="1:27" x14ac:dyDescent="0.3">
      <c r="A13">
        <v>160</v>
      </c>
      <c r="B13">
        <v>2.6067632668453822</v>
      </c>
      <c r="C13">
        <v>11.82288460083331</v>
      </c>
      <c r="D13">
        <v>28.003115200821441</v>
      </c>
      <c r="E13">
        <v>46.4313915532842</v>
      </c>
      <c r="F13">
        <v>63.777346411724494</v>
      </c>
      <c r="G13">
        <f t="shared" si="0"/>
        <v>6.6118540401535428</v>
      </c>
      <c r="H13" cm="1">
        <f t="array" ref="H13">_xll.SRS1Splines.Functions25.Cubic_Spline($Z$9:$Z$13,B13:F13,$X$9)</f>
        <v>6.5827672296914796</v>
      </c>
      <c r="J13">
        <v>160</v>
      </c>
      <c r="K13">
        <v>2.3742080092082163</v>
      </c>
      <c r="L13">
        <v>3.807307877431759</v>
      </c>
      <c r="M13">
        <v>1.1532094284469951</v>
      </c>
      <c r="N13">
        <v>160</v>
      </c>
      <c r="O13">
        <v>6.1673172644664724</v>
      </c>
      <c r="P13">
        <v>160</v>
      </c>
      <c r="Q13">
        <v>1.317805643743589</v>
      </c>
      <c r="R13">
        <v>160</v>
      </c>
      <c r="S13">
        <v>1.5408778522928821</v>
      </c>
      <c r="T13">
        <v>160</v>
      </c>
      <c r="U13">
        <v>8.150526127491295</v>
      </c>
      <c r="V13" s="10"/>
      <c r="W13" s="30" t="s">
        <v>141</v>
      </c>
      <c r="X13" s="26">
        <f>1+Z7/100</f>
        <v>3.06</v>
      </c>
      <c r="Z13" s="20">
        <v>0.8</v>
      </c>
    </row>
    <row r="14" spans="1:27" x14ac:dyDescent="0.3">
      <c r="A14">
        <v>176</v>
      </c>
      <c r="B14">
        <v>2.65253936677547</v>
      </c>
      <c r="C14">
        <v>12.12299441335967</v>
      </c>
      <c r="D14">
        <v>29.16648520556754</v>
      </c>
      <c r="E14">
        <v>48.969200994013249</v>
      </c>
      <c r="F14">
        <v>67.808576467243867</v>
      </c>
      <c r="G14">
        <f t="shared" si="0"/>
        <v>6.6852495824617959</v>
      </c>
      <c r="H14" cm="1">
        <f t="array" ref="H14">_xll.SRS1Splines.Functions25.Cubic_Spline($Z$9:$Z$13,B14:F14,$X$9)</f>
        <v>6.7074412479859502</v>
      </c>
      <c r="J14">
        <v>176</v>
      </c>
      <c r="K14">
        <v>2.410277821872139</v>
      </c>
      <c r="L14">
        <v>4.3519089159141098</v>
      </c>
      <c r="M14">
        <v>1.3175082934730411</v>
      </c>
      <c r="N14">
        <v>176</v>
      </c>
      <c r="O14">
        <v>6.2898273126373443</v>
      </c>
      <c r="P14">
        <v>176</v>
      </c>
      <c r="Q14">
        <v>1.352537827977474</v>
      </c>
      <c r="R14">
        <v>176</v>
      </c>
      <c r="S14">
        <v>1.5887778629917322</v>
      </c>
      <c r="T14">
        <v>176</v>
      </c>
      <c r="U14">
        <v>8.3548143656589051</v>
      </c>
    </row>
    <row r="15" spans="1:27" x14ac:dyDescent="0.3">
      <c r="A15">
        <v>192.00000000000009</v>
      </c>
      <c r="B15">
        <v>2.6963785116194496</v>
      </c>
      <c r="C15">
        <v>12.38015223426755</v>
      </c>
      <c r="D15">
        <v>30.15736756770573</v>
      </c>
      <c r="E15">
        <v>51.20069051427383</v>
      </c>
      <c r="F15">
        <v>71.437511415499998</v>
      </c>
      <c r="G15">
        <f t="shared" si="0"/>
        <v>6.7586451247700481</v>
      </c>
      <c r="H15" cm="1">
        <f t="array" ref="H15">_xll.SRS1Splines.Functions25.Cubic_Spline($Z$9:$Z$13,B15:F15,$X$9)</f>
        <v>6.8181937769792897</v>
      </c>
      <c r="J15">
        <v>192.00000000000009</v>
      </c>
      <c r="K15">
        <v>2.439556170994011</v>
      </c>
      <c r="L15">
        <v>4.9744102190097133</v>
      </c>
      <c r="M15">
        <v>1.5050990172349601</v>
      </c>
      <c r="N15">
        <v>192.00000000000009</v>
      </c>
      <c r="O15">
        <v>6.4006983524178889</v>
      </c>
      <c r="P15">
        <v>192.00000000000009</v>
      </c>
      <c r="Q15">
        <v>1.383769666013726</v>
      </c>
      <c r="R15">
        <v>192.00000000000009</v>
      </c>
      <c r="S15">
        <v>1.637049666212415</v>
      </c>
      <c r="T15">
        <v>192.00000000000009</v>
      </c>
      <c r="U15">
        <v>8.5342579290937302</v>
      </c>
      <c r="X15" s="36" t="s">
        <v>89</v>
      </c>
      <c r="Y15" s="36"/>
      <c r="Z15" s="36"/>
    </row>
    <row r="16" spans="1:27" x14ac:dyDescent="0.3">
      <c r="A16">
        <v>208.00000000000011</v>
      </c>
      <c r="B16">
        <v>2.7390150571709158</v>
      </c>
      <c r="C16">
        <v>12.60810756909747</v>
      </c>
      <c r="D16">
        <v>31.009765804013288</v>
      </c>
      <c r="E16">
        <v>53.163570099314974</v>
      </c>
      <c r="F16">
        <v>74.696504997498465</v>
      </c>
      <c r="G16">
        <f t="shared" si="0"/>
        <v>6.8320406670783012</v>
      </c>
      <c r="H16" cm="1">
        <f t="array" ref="H16">_xll.SRS1Splines.Functions25.Cubic_Spline($Z$9:$Z$13,B16:F16,$X$9)</f>
        <v>6.9211570796106798</v>
      </c>
      <c r="J16">
        <v>208.00000000000011</v>
      </c>
      <c r="K16">
        <v>2.4646396845348262</v>
      </c>
      <c r="L16">
        <v>5.6859547166764788</v>
      </c>
      <c r="M16">
        <v>1.71924433244967</v>
      </c>
      <c r="N16">
        <v>208.00000000000011</v>
      </c>
      <c r="O16">
        <v>6.5041870147928611</v>
      </c>
      <c r="P16">
        <v>208.00000000000011</v>
      </c>
      <c r="Q16">
        <v>1.412425405197528</v>
      </c>
      <c r="R16">
        <v>208.00000000000011</v>
      </c>
      <c r="S16">
        <v>1.6857262350698961</v>
      </c>
      <c r="T16">
        <v>208.00000000000011</v>
      </c>
      <c r="U16">
        <v>8.6955531711357015</v>
      </c>
      <c r="W16" s="37" t="s">
        <v>142</v>
      </c>
    </row>
    <row r="17" spans="1:28" x14ac:dyDescent="0.3">
      <c r="A17">
        <v>224.00000000000009</v>
      </c>
      <c r="B17">
        <v>2.780681586559508</v>
      </c>
      <c r="C17">
        <v>12.815453080842181</v>
      </c>
      <c r="D17">
        <v>31.751720748126207</v>
      </c>
      <c r="E17">
        <v>54.893806266607299</v>
      </c>
      <c r="F17">
        <v>77.620073765029801</v>
      </c>
      <c r="G17">
        <f t="shared" si="0"/>
        <v>6.9054362093865533</v>
      </c>
      <c r="H17" cm="1">
        <f t="array" ref="H17">_xll.SRS1Splines.Functions25.Cubic_Spline($Z$9:$Z$13,B17:F17,$X$9)</f>
        <v>7.0193841651505799</v>
      </c>
      <c r="J17">
        <v>224.00000000000009</v>
      </c>
      <c r="K17">
        <v>2.4870956598571987</v>
      </c>
      <c r="L17">
        <v>6.499279234460011</v>
      </c>
      <c r="M17">
        <v>1.9636496823926219</v>
      </c>
      <c r="N17">
        <v>224.00000000000009</v>
      </c>
      <c r="O17">
        <v>6.6024296154292914</v>
      </c>
      <c r="P17">
        <v>224.00000000000009</v>
      </c>
      <c r="Q17">
        <v>1.439163180078832</v>
      </c>
      <c r="R17">
        <v>224.00000000000009</v>
      </c>
      <c r="S17">
        <v>1.7348302729993779</v>
      </c>
      <c r="T17">
        <v>224.00000000000009</v>
      </c>
      <c r="U17">
        <v>8.8430592526459577</v>
      </c>
      <c r="W17" s="37"/>
    </row>
    <row r="18" spans="1:28" x14ac:dyDescent="0.3">
      <c r="A18">
        <v>240.00000000000011</v>
      </c>
      <c r="B18">
        <v>2.8214180731070031</v>
      </c>
      <c r="C18">
        <v>13.00741302920609</v>
      </c>
      <c r="D18">
        <v>32.405470638005241</v>
      </c>
      <c r="E18">
        <v>56.424079594945738</v>
      </c>
      <c r="F18">
        <v>80.242588014241136</v>
      </c>
      <c r="G18">
        <f t="shared" si="0"/>
        <v>6.9788317516948064</v>
      </c>
      <c r="H18" cm="1">
        <f t="array" ref="H18">_xll.SRS1Splines.Functions25.Cubic_Spline($Z$9:$Z$13,B18:F18,$X$9)</f>
        <v>7.1142014851278201</v>
      </c>
      <c r="J18">
        <v>240.00000000000011</v>
      </c>
      <c r="K18">
        <v>2.5078816523031469</v>
      </c>
      <c r="L18">
        <v>7.4289424858756803</v>
      </c>
      <c r="M18">
        <v>2.2425173776272418</v>
      </c>
      <c r="N18">
        <v>240.00000000000011</v>
      </c>
      <c r="O18">
        <v>6.6964746659112517</v>
      </c>
      <c r="P18">
        <v>240.00000000000011</v>
      </c>
      <c r="Q18">
        <v>1.46445841710994</v>
      </c>
      <c r="R18">
        <v>240.00000000000011</v>
      </c>
      <c r="S18">
        <v>1.7843786879175669</v>
      </c>
      <c r="T18">
        <v>240.00000000000011</v>
      </c>
      <c r="U18">
        <v>8.9797410556001562</v>
      </c>
      <c r="W18" s="37"/>
    </row>
    <row r="19" spans="1:28" x14ac:dyDescent="0.3">
      <c r="A19">
        <v>256.00000000000011</v>
      </c>
      <c r="B19">
        <v>2.8612176713289301</v>
      </c>
      <c r="C19">
        <v>13.187204141607481</v>
      </c>
      <c r="D19">
        <v>32.988280566609916</v>
      </c>
      <c r="E19">
        <v>57.783194986259595</v>
      </c>
      <c r="F19">
        <v>82.596790371387755</v>
      </c>
      <c r="G19">
        <f t="shared" si="0"/>
        <v>7.0522272940030586</v>
      </c>
      <c r="H19" cm="1">
        <f t="array" ref="H19">_xll.SRS1Splines.Functions25.Cubic_Spline($Z$9:$Z$13,B19:F19,$X$9)</f>
        <v>7.2061103820859698</v>
      </c>
      <c r="J19">
        <v>256.00000000000011</v>
      </c>
      <c r="K19">
        <v>2.5275926717127217</v>
      </c>
      <c r="L19">
        <v>8.4915856770437852</v>
      </c>
      <c r="M19">
        <v>2.5606044800605421</v>
      </c>
      <c r="N19">
        <v>256.00000000000011</v>
      </c>
      <c r="O19">
        <v>6.7868724802353739</v>
      </c>
      <c r="P19">
        <v>256.00000000000011</v>
      </c>
      <c r="Q19">
        <v>1.488659521467349</v>
      </c>
      <c r="R19">
        <v>256.00000000000011</v>
      </c>
      <c r="S19">
        <v>1.8343848536372109</v>
      </c>
      <c r="T19">
        <v>256.00000000000011</v>
      </c>
      <c r="U19">
        <v>9.1077160477022545</v>
      </c>
      <c r="W19" s="37" t="s">
        <v>143</v>
      </c>
    </row>
    <row r="20" spans="1:28" x14ac:dyDescent="0.3">
      <c r="A20">
        <v>272.00000000000006</v>
      </c>
      <c r="B20">
        <v>2.9000827295700913</v>
      </c>
      <c r="C20">
        <v>13.356912929831539</v>
      </c>
      <c r="D20">
        <v>33.513459026982765</v>
      </c>
      <c r="E20">
        <v>58.996091456795845</v>
      </c>
      <c r="F20">
        <v>84.713038953839202</v>
      </c>
      <c r="G20">
        <f t="shared" si="0"/>
        <v>7.1256228363113117</v>
      </c>
      <c r="H20" cm="1">
        <f t="array" ref="H20">_xll.SRS1Splines.Functions25.Cubic_Spline($Z$9:$Z$13,B20:F20,$X$9)</f>
        <v>7.2952899623575398</v>
      </c>
      <c r="J20">
        <v>272.00000000000006</v>
      </c>
      <c r="K20">
        <v>2.5466052901046137</v>
      </c>
      <c r="L20">
        <v>9.7062303884663343</v>
      </c>
      <c r="M20">
        <v>2.92328286844727</v>
      </c>
      <c r="N20">
        <v>272.00000000000006</v>
      </c>
      <c r="O20">
        <v>6.8739706752557499</v>
      </c>
      <c r="P20">
        <v>272.00000000000006</v>
      </c>
      <c r="Q20">
        <v>1.5120253895330631</v>
      </c>
      <c r="R20">
        <v>272.00000000000006</v>
      </c>
      <c r="S20">
        <v>1.8848598066045601</v>
      </c>
      <c r="T20">
        <v>272.00000000000006</v>
      </c>
      <c r="U20">
        <v>9.2285622868689146</v>
      </c>
      <c r="W20" s="37"/>
    </row>
    <row r="21" spans="1:28" x14ac:dyDescent="0.3">
      <c r="A21">
        <v>288.00000000000011</v>
      </c>
      <c r="B21">
        <v>2.938038602858033</v>
      </c>
      <c r="C21">
        <v>13.518002314640329</v>
      </c>
      <c r="D21">
        <v>33.99129307329374</v>
      </c>
      <c r="E21">
        <v>60.084141793125944</v>
      </c>
      <c r="F21">
        <v>86.619033695917366</v>
      </c>
      <c r="G21">
        <f t="shared" si="0"/>
        <v>7.1990183786195638</v>
      </c>
      <c r="H21" cm="1">
        <f t="array" ref="H21">_xll.SRS1Splines.Functions25.Cubic_Spline($Z$9:$Z$13,B21:F21,$X$9)</f>
        <v>7.3818348535618297</v>
      </c>
      <c r="J21">
        <v>288.00000000000011</v>
      </c>
      <c r="K21">
        <v>2.565162166413979</v>
      </c>
      <c r="L21">
        <v>11.094619066104201</v>
      </c>
      <c r="M21">
        <v>3.3365984544582368</v>
      </c>
      <c r="N21">
        <v>288.00000000000011</v>
      </c>
      <c r="O21">
        <v>6.9580444915652029</v>
      </c>
      <c r="P21">
        <v>288.00000000000011</v>
      </c>
      <c r="Q21">
        <v>1.534750970104156</v>
      </c>
      <c r="R21">
        <v>288.00000000000011</v>
      </c>
      <c r="S21">
        <v>1.9358129103373238</v>
      </c>
      <c r="T21">
        <v>288.00000000000011</v>
      </c>
      <c r="U21">
        <v>9.3434947123756942</v>
      </c>
      <c r="W21" s="37"/>
    </row>
    <row r="22" spans="1:28" x14ac:dyDescent="0.3">
      <c r="A22">
        <v>304.00000000000023</v>
      </c>
      <c r="B22">
        <v>2.975131043787393</v>
      </c>
      <c r="C22">
        <v>13.67158338021707</v>
      </c>
      <c r="D22">
        <v>34.42980397986473</v>
      </c>
      <c r="E22">
        <v>61.065551255027778</v>
      </c>
      <c r="F22">
        <v>88.339798305327051</v>
      </c>
      <c r="G22">
        <f t="shared" si="0"/>
        <v>7.2724139209278169</v>
      </c>
      <c r="H22" cm="1">
        <f t="array" ref="H22">_xll.SRS1Splines.Functions25.Cubic_Spline($Z$9:$Z$13,B22:F22,$X$9)</f>
        <v>7.46584660694859</v>
      </c>
      <c r="J22">
        <v>304.00000000000023</v>
      </c>
      <c r="K22">
        <v>2.5834223195732577</v>
      </c>
      <c r="L22">
        <v>12.68160421663061</v>
      </c>
      <c r="M22">
        <v>3.807323941128836</v>
      </c>
      <c r="N22">
        <v>304.00000000000023</v>
      </c>
      <c r="O22">
        <v>7.0393456585957788</v>
      </c>
      <c r="P22">
        <v>304.00000000000023</v>
      </c>
      <c r="Q22">
        <v>1.5569849041997821</v>
      </c>
      <c r="R22">
        <v>304.00000000000023</v>
      </c>
      <c r="S22">
        <v>1.9872522445101208</v>
      </c>
      <c r="T22">
        <v>304.00000000000023</v>
      </c>
      <c r="U22">
        <v>9.4534708626427904</v>
      </c>
    </row>
    <row r="23" spans="1:28" x14ac:dyDescent="0.3">
      <c r="A23">
        <v>320.00000000000017</v>
      </c>
      <c r="B23">
        <v>3.011419181353558</v>
      </c>
      <c r="C23">
        <v>13.81855482681865</v>
      </c>
      <c r="D23">
        <v>34.835318779970649</v>
      </c>
      <c r="E23">
        <v>61.955764582379082</v>
      </c>
      <c r="F23">
        <v>89.897772135864386</v>
      </c>
      <c r="G23">
        <f t="shared" si="0"/>
        <v>7.3458094632360691</v>
      </c>
      <c r="H23" cm="1">
        <f t="array" ref="H23">_xll.SRS1Splines.Functions25.Cubic_Spline($Z$9:$Z$13,B23:F23,$X$9)</f>
        <v>7.5474562520591704</v>
      </c>
      <c r="J23">
        <v>320.00000000000017</v>
      </c>
      <c r="K23">
        <v>2.6014915532754928</v>
      </c>
      <c r="L23">
        <v>14.49559327355394</v>
      </c>
      <c r="M23">
        <v>4.3429950049657915</v>
      </c>
      <c r="N23">
        <v>320.00000000000017</v>
      </c>
      <c r="O23">
        <v>7.1181158399614137</v>
      </c>
      <c r="P23">
        <v>320.00000000000017</v>
      </c>
      <c r="Q23">
        <v>1.578841858668125</v>
      </c>
      <c r="R23">
        <v>320.00000000000017</v>
      </c>
      <c r="S23">
        <v>2.0391848469147633</v>
      </c>
      <c r="T23">
        <v>320.00000000000017</v>
      </c>
      <c r="U23">
        <v>9.5592582281292433</v>
      </c>
    </row>
    <row r="24" spans="1:28" x14ac:dyDescent="0.3">
      <c r="A24">
        <v>336.00000000000017</v>
      </c>
      <c r="B24">
        <v>3.0469688104747208</v>
      </c>
      <c r="C24">
        <v>13.95967361276991</v>
      </c>
      <c r="D24">
        <v>35.212889291196902</v>
      </c>
      <c r="E24">
        <v>62.767847034686966</v>
      </c>
      <c r="F24">
        <v>91.312944124691427</v>
      </c>
      <c r="G24">
        <f t="shared" si="0"/>
        <v>7.4192050055443213</v>
      </c>
      <c r="H24" cm="1">
        <f t="array" ref="H24">_xll.SRS1Splines.Functions25.Cubic_Spline($Z$9:$Z$13,B24:F24,$X$9)</f>
        <v>7.6268200895582101</v>
      </c>
      <c r="J24">
        <v>336.00000000000017</v>
      </c>
      <c r="K24">
        <v>2.6194412122698369</v>
      </c>
      <c r="L24">
        <v>16.569057097425308</v>
      </c>
      <c r="M24">
        <v>4.9519117891286397</v>
      </c>
      <c r="N24">
        <v>336.00000000000017</v>
      </c>
      <c r="O24">
        <v>7.1945870339817795</v>
      </c>
      <c r="P24">
        <v>336.00000000000017</v>
      </c>
      <c r="Q24">
        <v>1.6004112628189471</v>
      </c>
      <c r="R24">
        <v>336.00000000000017</v>
      </c>
      <c r="S24">
        <v>2.0916168741451711</v>
      </c>
      <c r="T24">
        <v>336.00000000000017</v>
      </c>
      <c r="U24">
        <v>9.6614797833904102</v>
      </c>
      <c r="Z24" s="29"/>
      <c r="AA24" s="29"/>
      <c r="AB24" s="29"/>
    </row>
    <row r="25" spans="1:28" x14ac:dyDescent="0.3">
      <c r="A25">
        <v>352.00000000000023</v>
      </c>
      <c r="B25">
        <v>3.0818473636528201</v>
      </c>
      <c r="C25">
        <v>14.09559177044653</v>
      </c>
      <c r="D25">
        <v>35.566596375054424</v>
      </c>
      <c r="E25">
        <v>63.512829279160812</v>
      </c>
      <c r="F25">
        <v>92.603006726484423</v>
      </c>
      <c r="G25">
        <f t="shared" si="0"/>
        <v>7.4926005478525743</v>
      </c>
      <c r="H25" cm="1">
        <f t="array" ref="H25">_xll.SRS1Splines.Functions25.Cubic_Spline($Z$9:$Z$13,B25:F25,$X$9)</f>
        <v>7.7041083997789004</v>
      </c>
      <c r="J25">
        <v>352.00000000000023</v>
      </c>
      <c r="K25">
        <v>2.6373199599997408</v>
      </c>
      <c r="L25">
        <v>18.93911121241273</v>
      </c>
      <c r="M25">
        <v>5.6430731994878895</v>
      </c>
      <c r="N25">
        <v>352.00000000000023</v>
      </c>
      <c r="O25">
        <v>7.2689786065753825</v>
      </c>
      <c r="P25">
        <v>352.00000000000023</v>
      </c>
      <c r="Q25">
        <v>1.6217635761846212</v>
      </c>
      <c r="R25">
        <v>352.00000000000023</v>
      </c>
      <c r="S25">
        <v>2.144553715696949</v>
      </c>
      <c r="T25">
        <v>352.00000000000023</v>
      </c>
      <c r="U25">
        <v>9.7606463104118522</v>
      </c>
      <c r="AA25" s="27"/>
      <c r="AB25" s="27"/>
    </row>
    <row r="26" spans="1:28" x14ac:dyDescent="0.3">
      <c r="A26">
        <v>368.00000000000023</v>
      </c>
      <c r="B26">
        <v>3.1161206099731</v>
      </c>
      <c r="C26">
        <v>14.226877213841911</v>
      </c>
      <c r="D26">
        <v>35.899771652050802</v>
      </c>
      <c r="E26">
        <v>64.200014110702071</v>
      </c>
      <c r="F26">
        <v>93.783525053320631</v>
      </c>
      <c r="G26">
        <f t="shared" si="0"/>
        <v>7.5659960901608265</v>
      </c>
      <c r="H26" cm="1">
        <f t="array" ref="H26">_xll.SRS1Splines.Functions25.Cubic_Spline($Z$9:$Z$13,B26:F26,$X$9)</f>
        <v>7.7794948231755896</v>
      </c>
      <c r="J26">
        <v>368.00000000000023</v>
      </c>
      <c r="K26">
        <v>2.6551613060913133</v>
      </c>
      <c r="L26">
        <v>21.648180183522641</v>
      </c>
      <c r="M26">
        <v>6.4259850820390874</v>
      </c>
      <c r="N26">
        <v>368.00000000000023</v>
      </c>
      <c r="O26">
        <v>7.3414945480564837</v>
      </c>
      <c r="P26">
        <v>368.00000000000023</v>
      </c>
      <c r="Q26">
        <v>1.6429548403596321</v>
      </c>
      <c r="R26">
        <v>368.00000000000023</v>
      </c>
      <c r="S26">
        <v>2.1980000801959831</v>
      </c>
      <c r="T26">
        <v>368.00000000000023</v>
      </c>
      <c r="U26">
        <v>9.8571801911299115</v>
      </c>
    </row>
    <row r="27" spans="1:28" x14ac:dyDescent="0.3">
      <c r="A27">
        <v>384.00000000000017</v>
      </c>
      <c r="B27">
        <v>3.1498507180403887</v>
      </c>
      <c r="C27">
        <v>14.354027086486251</v>
      </c>
      <c r="D27">
        <v>36.21516085241597</v>
      </c>
      <c r="E27">
        <v>64.837245503612891</v>
      </c>
      <c r="F27">
        <v>94.868118618547044</v>
      </c>
      <c r="G27">
        <f t="shared" si="0"/>
        <v>7.6393916324690778</v>
      </c>
      <c r="H27" cm="1">
        <f t="array" ref="H27">_xll.SRS1Splines.Functions25.Cubic_Spline($Z$9:$Z$13,B27:F27,$X$9)</f>
        <v>7.8531486396410504</v>
      </c>
      <c r="J27">
        <v>384.00000000000017</v>
      </c>
      <c r="K27">
        <v>2.6729884982330971</v>
      </c>
      <c r="L27">
        <v>24.744757026988268</v>
      </c>
      <c r="M27">
        <v>7.3102339038966679</v>
      </c>
      <c r="N27">
        <v>384.00000000000017</v>
      </c>
      <c r="O27">
        <v>7.4123219195942882</v>
      </c>
      <c r="P27">
        <v>384.00000000000017</v>
      </c>
      <c r="Q27">
        <v>1.664030023463408</v>
      </c>
      <c r="R27">
        <v>384.00000000000017</v>
      </c>
      <c r="S27">
        <v>2.2519600640974398</v>
      </c>
      <c r="T27">
        <v>384.00000000000017</v>
      </c>
      <c r="U27">
        <v>9.9514333712286902</v>
      </c>
    </row>
    <row r="28" spans="1:28" x14ac:dyDescent="0.3">
      <c r="A28">
        <v>400.00000000000017</v>
      </c>
      <c r="B28">
        <v>3.1830952752492001</v>
      </c>
      <c r="C28">
        <v>14.477477549826929</v>
      </c>
      <c r="D28">
        <v>36.515045906113237</v>
      </c>
      <c r="E28">
        <v>65.43114160696463</v>
      </c>
      <c r="F28">
        <v>95.868650790851305</v>
      </c>
      <c r="G28">
        <f t="shared" si="0"/>
        <v>7.7127871747773318</v>
      </c>
      <c r="H28" cm="1">
        <f t="array" ref="H28">_xll.SRS1Splines.Functions25.Cubic_Spline($Z$9:$Z$13,B28:F28,$X$9)</f>
        <v>7.9252299705934002</v>
      </c>
      <c r="J28">
        <v>400.00000000000017</v>
      </c>
      <c r="K28">
        <v>2.6908177508803308</v>
      </c>
      <c r="L28">
        <v>28.28427124746197</v>
      </c>
      <c r="M28">
        <v>8.3046231562445616</v>
      </c>
      <c r="N28">
        <v>400.00000000000017</v>
      </c>
      <c r="O28">
        <v>7.4816304656168215</v>
      </c>
      <c r="P28">
        <v>400.00000000000017</v>
      </c>
      <c r="Q28">
        <v>1.685025504852959</v>
      </c>
      <c r="R28">
        <v>400.00000000000017</v>
      </c>
      <c r="S28">
        <v>2.3064372087183558</v>
      </c>
      <c r="T28">
        <v>400.00000000000017</v>
      </c>
      <c r="U28">
        <v>10.043701165507009</v>
      </c>
    </row>
    <row r="29" spans="1:28" x14ac:dyDescent="0.3">
      <c r="A29">
        <v>416.00000000000034</v>
      </c>
      <c r="B29">
        <v>3.2159069290202993</v>
      </c>
      <c r="C29">
        <v>14.597611711846721</v>
      </c>
      <c r="D29">
        <v>36.80133757708689</v>
      </c>
      <c r="E29">
        <v>65.987294136248508</v>
      </c>
      <c r="F29">
        <v>96.795419330405522</v>
      </c>
      <c r="G29">
        <f t="shared" si="0"/>
        <v>7.7861827170855848</v>
      </c>
      <c r="H29" cm="1">
        <f t="array" ref="H29">_xll.SRS1Splines.Functions25.Cubic_Spline($Z$9:$Z$13,B29:F29,$X$9)</f>
        <v>7.9958872528296103</v>
      </c>
      <c r="J29">
        <v>416.00000000000034</v>
      </c>
      <c r="K29">
        <v>2.7086604069064601</v>
      </c>
      <c r="L29">
        <v>32.330081040095521</v>
      </c>
      <c r="M29">
        <v>9.4154873596776465</v>
      </c>
      <c r="N29">
        <v>416.00000000000034</v>
      </c>
      <c r="O29">
        <v>7.549573084038081</v>
      </c>
      <c r="P29">
        <v>416.00000000000034</v>
      </c>
      <c r="Q29">
        <v>1.70597094055904</v>
      </c>
      <c r="R29">
        <v>416.00000000000034</v>
      </c>
      <c r="S29">
        <v>2.3614345490304931</v>
      </c>
      <c r="T29">
        <v>416.00000000000034</v>
      </c>
      <c r="U29">
        <v>10.1342330037144</v>
      </c>
    </row>
    <row r="30" spans="1:28" x14ac:dyDescent="0.3">
      <c r="A30">
        <v>432.00000000000028</v>
      </c>
      <c r="B30">
        <v>3.2483334070822321</v>
      </c>
      <c r="C30">
        <v>14.71476640879529</v>
      </c>
      <c r="D30">
        <v>37.075646754358765</v>
      </c>
      <c r="E30">
        <v>66.510437264525507</v>
      </c>
      <c r="F30">
        <v>97.657341388045353</v>
      </c>
      <c r="G30">
        <f t="shared" si="0"/>
        <v>7.859578259393837</v>
      </c>
      <c r="H30" cm="1">
        <f t="array" ref="H30">_xll.SRS1Splines.Functions25.Cubic_Spline($Z$9:$Z$13,B30:F30,$X$9)</f>
        <v>8.0652562710233795</v>
      </c>
      <c r="J30">
        <v>432.00000000000028</v>
      </c>
      <c r="K30">
        <v>2.726524404021232</v>
      </c>
      <c r="L30">
        <v>36.954607418175421</v>
      </c>
      <c r="M30">
        <v>10.643450924834131</v>
      </c>
      <c r="N30">
        <v>432.00000000000028</v>
      </c>
      <c r="O30">
        <v>7.616286831781677</v>
      </c>
      <c r="P30">
        <v>432.00000000000028</v>
      </c>
      <c r="Q30">
        <v>1.7268906777405211</v>
      </c>
      <c r="R30">
        <v>432.00000000000028</v>
      </c>
      <c r="S30">
        <v>2.4169546562892359</v>
      </c>
      <c r="T30">
        <v>432.00000000000028</v>
      </c>
      <c r="U30">
        <v>10.22324087694361</v>
      </c>
    </row>
    <row r="31" spans="1:28" x14ac:dyDescent="0.3">
      <c r="A31">
        <v>448.00000000000028</v>
      </c>
      <c r="B31">
        <v>3.2804177532767809</v>
      </c>
      <c r="C31">
        <v>14.82923813600714</v>
      </c>
      <c r="D31">
        <v>37.339340019156893</v>
      </c>
      <c r="E31">
        <v>67.004589494173501</v>
      </c>
      <c r="F31">
        <v>98.462127635778529</v>
      </c>
      <c r="G31">
        <f t="shared" si="0"/>
        <v>7.9329738017020883</v>
      </c>
      <c r="H31" cm="1">
        <f t="array" ref="H31">_xll.SRS1Splines.Functions25.Cubic_Spline($Z$9:$Z$13,B31:F31,$X$9)</f>
        <v>8.1334601713914392</v>
      </c>
      <c r="J31">
        <v>448.00000000000028</v>
      </c>
      <c r="K31">
        <v>2.7444152833161501</v>
      </c>
      <c r="L31">
        <v>42.24063056748313</v>
      </c>
      <c r="M31">
        <v>11.977294778861371</v>
      </c>
      <c r="N31">
        <v>448.00000000000028</v>
      </c>
      <c r="O31">
        <v>7.6818942113553916</v>
      </c>
      <c r="P31">
        <v>448.00000000000028</v>
      </c>
      <c r="Q31">
        <v>1.7478048372685859</v>
      </c>
      <c r="R31">
        <v>448.00000000000028</v>
      </c>
      <c r="S31">
        <v>2.4729996758131869</v>
      </c>
      <c r="T31">
        <v>448.00000000000028</v>
      </c>
      <c r="U31">
        <v>10.31090602993083</v>
      </c>
    </row>
    <row r="32" spans="1:28" x14ac:dyDescent="0.3">
      <c r="A32">
        <v>464.00000000000028</v>
      </c>
      <c r="B32">
        <v>3.312198673548024</v>
      </c>
      <c r="C32">
        <v>14.941288260977529</v>
      </c>
      <c r="D32">
        <v>37.593583437835939</v>
      </c>
      <c r="E32">
        <v>67.473172082819332</v>
      </c>
      <c r="F32">
        <v>99.216441986690484</v>
      </c>
      <c r="G32">
        <f t="shared" si="0"/>
        <v>8.0063693440103432</v>
      </c>
      <c r="H32" cm="1">
        <f t="array" ref="H32">_xll.SRS1Splines.Functions25.Cubic_Spline($Z$9:$Z$13,B32:F32,$X$9)</f>
        <v>8.2006100438621896</v>
      </c>
      <c r="J32">
        <v>464.00000000000028</v>
      </c>
      <c r="K32">
        <v>2.762336928094876</v>
      </c>
      <c r="L32">
        <v>48.282771632449567</v>
      </c>
      <c r="M32">
        <v>13.382927728304919</v>
      </c>
      <c r="N32">
        <v>464.00000000000028</v>
      </c>
      <c r="O32">
        <v>7.7465045625148639</v>
      </c>
      <c r="P32">
        <v>464.00000000000028</v>
      </c>
      <c r="Q32">
        <v>1.7687301496582208</v>
      </c>
      <c r="R32">
        <v>464.00000000000028</v>
      </c>
      <c r="S32">
        <v>2.5295713607902721</v>
      </c>
      <c r="T32">
        <v>464.00000000000028</v>
      </c>
      <c r="U32">
        <v>10.397384300649591</v>
      </c>
    </row>
    <row r="33" spans="1:21" x14ac:dyDescent="0.3">
      <c r="A33">
        <v>480.00000000000034</v>
      </c>
      <c r="B33">
        <v>3.3437109260423998</v>
      </c>
      <c r="C33">
        <v>15.05114759542078</v>
      </c>
      <c r="D33">
        <v>37.839377406563408</v>
      </c>
      <c r="E33">
        <v>67.919107460239431</v>
      </c>
      <c r="F33">
        <v>99.926045088687943</v>
      </c>
      <c r="G33">
        <f t="shared" si="0"/>
        <v>8.0797648863185945</v>
      </c>
      <c r="H33" cm="1">
        <f t="array" ref="H33">_xll.SRS1Splines.Functions25.Cubic_Spline($Z$9:$Z$13,B33:F33,$X$9)</f>
        <v>8.2668057982465299</v>
      </c>
      <c r="J33">
        <v>480.00000000000034</v>
      </c>
      <c r="K33">
        <v>2.7802920595564173</v>
      </c>
      <c r="L33">
        <v>55.189186458448752</v>
      </c>
      <c r="M33">
        <v>14.786939341188312</v>
      </c>
      <c r="N33">
        <v>480.00000000000034</v>
      </c>
      <c r="O33">
        <v>7.8102154470134701</v>
      </c>
      <c r="P33">
        <v>480.00000000000034</v>
      </c>
      <c r="Q33">
        <v>1.789680605948714</v>
      </c>
      <c r="R33">
        <v>480.00000000000034</v>
      </c>
      <c r="S33">
        <v>2.5866711027273679</v>
      </c>
      <c r="T33">
        <v>480.00000000000034</v>
      </c>
      <c r="U33">
        <v>10.482810407851179</v>
      </c>
    </row>
    <row r="34" spans="1:21" x14ac:dyDescent="0.3">
      <c r="A34">
        <v>496.00000000000028</v>
      </c>
      <c r="B34">
        <v>3.3749857165478421</v>
      </c>
      <c r="C34">
        <v>15.159020387104411</v>
      </c>
      <c r="D34">
        <v>38.077584606740558</v>
      </c>
      <c r="E34">
        <v>68.344900787284502</v>
      </c>
      <c r="F34">
        <v>100.5959211611505</v>
      </c>
      <c r="G34">
        <f t="shared" si="0"/>
        <v>8.1531604286268458</v>
      </c>
      <c r="H34" cm="1">
        <f t="array" ref="H34">_xll.SRS1Splines.Functions25.Cubic_Spline($Z$9:$Z$13,B34:F34,$X$9)</f>
        <v>8.3321371617420805</v>
      </c>
      <c r="J34">
        <v>496.00000000000028</v>
      </c>
      <c r="K34">
        <v>2.7982824603758574</v>
      </c>
      <c r="L34">
        <v>63.083501608643999</v>
      </c>
      <c r="M34">
        <v>16.067230463033198</v>
      </c>
      <c r="N34">
        <v>496.00000000000028</v>
      </c>
      <c r="O34">
        <v>7.8731139617146741</v>
      </c>
      <c r="P34">
        <v>496.00000000000028</v>
      </c>
      <c r="Q34">
        <v>1.810667968505081</v>
      </c>
      <c r="R34">
        <v>496.00000000000028</v>
      </c>
      <c r="S34">
        <v>2.6442999590022089</v>
      </c>
      <c r="T34">
        <v>496.00000000000028</v>
      </c>
      <c r="U34">
        <v>10.56730141456404</v>
      </c>
    </row>
    <row r="35" spans="1:21" x14ac:dyDescent="0.3">
      <c r="A35">
        <v>512.00000000000034</v>
      </c>
      <c r="B35">
        <v>3.4060510774315622</v>
      </c>
      <c r="C35">
        <v>15.265087789323049</v>
      </c>
      <c r="D35">
        <v>38.308952597028181</v>
      </c>
      <c r="E35">
        <v>68.75270744680104</v>
      </c>
      <c r="F35">
        <v>101.2303887159881</v>
      </c>
      <c r="G35">
        <f t="shared" ref="G35:G53" si="1">IF($X$9&lt;$X$10,0,IF(A35/1000&lt;$X$9*$X$3+$Y$3/1000,4*$X$11*(A35/1000)*($X$9-($X$13*$X$9+$Y$4)*$X$10-($X$5*$X$9*$X$9+$Y$5*$X$9+$Z$5)*A35/1000)*(1+A35/1000*($X$6*$X$9*$X$9*$X$9+$Y$6*$X$9*$X$9+$Z$6*$X$9+$AA$6)),($X$11/$X$12)*($X$9-$X$10)*($X$9-$X$10)*(1+A35/1000*($X$6*$X$9*$X$9*$X$9+$Y$6*$X$9*$X$9+$Z$6*$X$9+$AA$6))))</f>
        <v>8.2265559709350988</v>
      </c>
      <c r="H35" cm="1">
        <f t="array" ref="H35">_xll.SRS1Splines.Functions25.Cubic_Spline($Z$9:$Z$13,B35:F35,$X$9)</f>
        <v>8.3966846943928299</v>
      </c>
      <c r="J35">
        <v>512.00000000000034</v>
      </c>
      <c r="K35">
        <v>2.8163092820255962</v>
      </c>
      <c r="L35">
        <v>72.107027310575177</v>
      </c>
      <c r="M35">
        <v>17.095045298351671</v>
      </c>
      <c r="N35">
        <v>512.00000000000034</v>
      </c>
      <c r="O35">
        <v>7.9352779473784256</v>
      </c>
      <c r="P35">
        <v>512.00000000000034</v>
      </c>
      <c r="Q35">
        <v>1.831702174882025</v>
      </c>
      <c r="R35">
        <v>512.00000000000034</v>
      </c>
      <c r="S35">
        <v>2.7024586778771873</v>
      </c>
      <c r="T35">
        <v>512.00000000000034</v>
      </c>
      <c r="U35">
        <v>10.650959542074951</v>
      </c>
    </row>
    <row r="36" spans="1:21" x14ac:dyDescent="0.3">
      <c r="A36">
        <v>528.00000000000034</v>
      </c>
      <c r="B36">
        <v>3.4369322188830611</v>
      </c>
      <c r="C36">
        <v>15.369510864777482</v>
      </c>
      <c r="D36">
        <v>38.534132190000484</v>
      </c>
      <c r="E36">
        <v>69.144388874690307</v>
      </c>
      <c r="F36">
        <v>101.83319630550331</v>
      </c>
      <c r="G36">
        <f t="shared" si="1"/>
        <v>8.2999515132433519</v>
      </c>
      <c r="H36" cm="1">
        <f t="array" ref="H36">_xll.SRS1Splines.Functions25.Cubic_Spline($Z$9:$Z$13,B36:F36,$X$9)</f>
        <v>8.4605207639406395</v>
      </c>
      <c r="J36">
        <v>528.00000000000034</v>
      </c>
      <c r="K36">
        <v>2.8343732388569722</v>
      </c>
      <c r="L36">
        <v>82.42128694478788</v>
      </c>
      <c r="M36">
        <v>17.838087701468712</v>
      </c>
      <c r="N36">
        <v>528.00000000000034</v>
      </c>
      <c r="O36">
        <v>7.9967770791410819</v>
      </c>
      <c r="P36">
        <v>528.00000000000034</v>
      </c>
      <c r="Q36">
        <v>1.8527916593936211</v>
      </c>
      <c r="R36">
        <v>528.00000000000034</v>
      </c>
      <c r="S36">
        <v>2.7611477212672102</v>
      </c>
      <c r="T36">
        <v>528.00000000000034</v>
      </c>
      <c r="U36">
        <v>10.7338744689657</v>
      </c>
    </row>
    <row r="37" spans="1:21" x14ac:dyDescent="0.3">
      <c r="A37">
        <v>544.00000000000034</v>
      </c>
      <c r="B37">
        <v>3.4676518477493081</v>
      </c>
      <c r="C37">
        <v>15.472433179034411</v>
      </c>
      <c r="D37">
        <v>38.753692488484745</v>
      </c>
      <c r="E37">
        <v>69.52155877156433</v>
      </c>
      <c r="F37">
        <v>102.40760475115221</v>
      </c>
      <c r="G37">
        <f t="shared" si="1"/>
        <v>8.373347055551605</v>
      </c>
      <c r="H37" cm="1">
        <f t="array" ref="H37">_xll.SRS1Splines.Functions25.Cubic_Spline($Z$9:$Z$13,B37:F37,$X$9)</f>
        <v>8.5237104499467495</v>
      </c>
      <c r="J37">
        <v>544.00000000000034</v>
      </c>
      <c r="K37">
        <v>2.852474738650586</v>
      </c>
      <c r="L37">
        <v>94.21090835398735</v>
      </c>
      <c r="M37">
        <v>18.378136868097059</v>
      </c>
      <c r="N37">
        <v>544.00000000000034</v>
      </c>
      <c r="O37">
        <v>8.0576738375733488</v>
      </c>
      <c r="P37">
        <v>544.00000000000034</v>
      </c>
      <c r="Q37">
        <v>1.873943610869333</v>
      </c>
      <c r="R37">
        <v>544.00000000000034</v>
      </c>
      <c r="S37">
        <v>2.8203672855075914</v>
      </c>
      <c r="T37">
        <v>544.00000000000034</v>
      </c>
      <c r="U37">
        <v>10.81612521962472</v>
      </c>
    </row>
    <row r="38" spans="1:21" x14ac:dyDescent="0.3">
      <c r="A38">
        <v>560.00000000000034</v>
      </c>
      <c r="B38">
        <v>3.4982304530583148</v>
      </c>
      <c r="C38">
        <v>15.573983036625281</v>
      </c>
      <c r="D38">
        <v>38.968133256009885</v>
      </c>
      <c r="E38">
        <v>69.885621401010866</v>
      </c>
      <c r="F38">
        <v>102.956457415587</v>
      </c>
      <c r="G38">
        <f t="shared" si="1"/>
        <v>8.4467425978598563</v>
      </c>
      <c r="H38" cm="1">
        <f t="array" ref="H38">_xll.SRS1Splines.Functions25.Cubic_Spline($Z$9:$Z$13,B38:F38,$X$9)</f>
        <v>8.5863123651250106</v>
      </c>
      <c r="J38">
        <v>560.00000000000034</v>
      </c>
      <c r="K38">
        <v>2.8706139782892262</v>
      </c>
      <c r="L38">
        <v>107.68692872787861</v>
      </c>
      <c r="M38">
        <v>18.815025648696931</v>
      </c>
      <c r="N38">
        <v>560.00000000000034</v>
      </c>
      <c r="O38">
        <v>8.1180243659072868</v>
      </c>
      <c r="P38">
        <v>560.00000000000034</v>
      </c>
      <c r="Q38">
        <v>1.8951641805682391</v>
      </c>
      <c r="R38">
        <v>560.00000000000034</v>
      </c>
      <c r="S38">
        <v>2.8801173203334209</v>
      </c>
      <c r="T38">
        <v>560.00000000000034</v>
      </c>
      <c r="U38">
        <v>10.89778172372225</v>
      </c>
    </row>
    <row r="39" spans="1:21" x14ac:dyDescent="0.3">
      <c r="A39">
        <v>576.00000000000045</v>
      </c>
      <c r="B39">
        <v>3.528686559458345</v>
      </c>
      <c r="C39">
        <v>15.674275406926519</v>
      </c>
      <c r="D39">
        <v>39.177895146069794</v>
      </c>
      <c r="E39">
        <v>70.237803387423767</v>
      </c>
      <c r="F39">
        <v>103.482240057448</v>
      </c>
      <c r="G39">
        <f t="shared" si="1"/>
        <v>8.5201381401681093</v>
      </c>
      <c r="H39" cm="1">
        <f t="array" ref="H39">_xll.SRS1Splines.Functions25.Cubic_Spline($Z$9:$Z$13,B39:F39,$X$9)</f>
        <v>8.64837939081551</v>
      </c>
      <c r="J39">
        <v>576.00000000000045</v>
      </c>
      <c r="K39">
        <v>2.8887910148874241</v>
      </c>
      <c r="L39">
        <v>123.0905722219629</v>
      </c>
      <c r="M39">
        <v>19.2139644768246</v>
      </c>
      <c r="N39">
        <v>576.00000000000045</v>
      </c>
      <c r="O39">
        <v>8.1778792224750898</v>
      </c>
      <c r="P39">
        <v>576.00000000000045</v>
      </c>
      <c r="Q39">
        <v>1.9164586508966479</v>
      </c>
      <c r="R39">
        <v>576.00000000000045</v>
      </c>
      <c r="S39">
        <v>2.9403975462540979</v>
      </c>
      <c r="T39">
        <v>576.00000000000045</v>
      </c>
      <c r="U39">
        <v>10.97890611057851</v>
      </c>
    </row>
    <row r="40" spans="1:21" x14ac:dyDescent="0.3">
      <c r="A40">
        <v>592.00000000000045</v>
      </c>
      <c r="B40">
        <v>3.5590369508966848</v>
      </c>
      <c r="C40">
        <v>15.773413582851749</v>
      </c>
      <c r="D40">
        <v>39.38336820172389</v>
      </c>
      <c r="E40">
        <v>70.579180176033603</v>
      </c>
      <c r="F40">
        <v>103.9871317088196</v>
      </c>
      <c r="G40">
        <f t="shared" si="1"/>
        <v>8.5935336824763624</v>
      </c>
      <c r="H40" cm="1">
        <f t="array" ref="H40">_xll.SRS1Splines.Functions25.Cubic_Spline($Z$9:$Z$13,B40:F40,$X$9)</f>
        <v>8.7099593297727793</v>
      </c>
      <c r="J40">
        <v>592.00000000000045</v>
      </c>
      <c r="K40">
        <v>2.9070058193601711</v>
      </c>
      <c r="L40">
        <v>140.69756793061742</v>
      </c>
      <c r="M40">
        <v>19.609872411759302</v>
      </c>
      <c r="N40">
        <v>592.00000000000045</v>
      </c>
      <c r="O40">
        <v>8.2372840388184816</v>
      </c>
      <c r="P40">
        <v>592.00000000000045</v>
      </c>
      <c r="Q40">
        <v>1.9378315730990028</v>
      </c>
      <c r="R40">
        <v>592.00000000000045</v>
      </c>
      <c r="S40">
        <v>3.0012074704858942</v>
      </c>
      <c r="T40">
        <v>592.00000000000045</v>
      </c>
      <c r="U40">
        <v>11.059553788839819</v>
      </c>
    </row>
    <row r="41" spans="1:21" x14ac:dyDescent="0.3">
      <c r="A41">
        <v>608.00000000000045</v>
      </c>
      <c r="B41">
        <v>3.5892968673341867</v>
      </c>
      <c r="C41">
        <v>15.87149061025608</v>
      </c>
      <c r="D41">
        <v>39.584898950635719</v>
      </c>
      <c r="E41">
        <v>70.910698107687978</v>
      </c>
      <c r="F41">
        <v>104.4730478769836</v>
      </c>
      <c r="G41">
        <f t="shared" si="1"/>
        <v>8.6669292247846155</v>
      </c>
      <c r="H41" cm="1">
        <f t="array" ref="H41">_xll.SRS1Splines.Functions25.Cubic_Spline($Z$9:$Z$13,B41:F41,$X$9)</f>
        <v>8.7710954822722407</v>
      </c>
      <c r="J41">
        <v>608.00000000000045</v>
      </c>
      <c r="K41">
        <v>2.9252583173374447</v>
      </c>
      <c r="L41">
        <v>160.8230855072633</v>
      </c>
      <c r="M41">
        <v>20.021194308749351</v>
      </c>
      <c r="N41">
        <v>608.00000000000045</v>
      </c>
      <c r="O41">
        <v>8.2962800941300756</v>
      </c>
      <c r="P41">
        <v>608.00000000000045</v>
      </c>
      <c r="Q41">
        <v>1.95928688023678</v>
      </c>
      <c r="R41">
        <v>608.00000000000045</v>
      </c>
      <c r="S41">
        <v>3.0625464015859518</v>
      </c>
      <c r="T41">
        <v>608.00000000000045</v>
      </c>
      <c r="U41">
        <v>11.1397743514183</v>
      </c>
    </row>
    <row r="42" spans="1:21" x14ac:dyDescent="0.3">
      <c r="A42">
        <v>624.00000000000045</v>
      </c>
      <c r="B42">
        <v>3.6194801773994447</v>
      </c>
      <c r="C42">
        <v>15.968590521043811</v>
      </c>
      <c r="D42">
        <v>39.78279635381957</v>
      </c>
      <c r="E42">
        <v>71.23319288678934</v>
      </c>
      <c r="F42">
        <v>104.9416772198794</v>
      </c>
      <c r="G42">
        <f t="shared" si="1"/>
        <v>8.7403247670928668</v>
      </c>
      <c r="H42" cm="1">
        <f t="array" ref="H42">_xll.SRS1Splines.Functions25.Cubic_Spline($Z$9:$Z$13,B42:F42,$X$9)</f>
        <v>8.8318271527730907</v>
      </c>
      <c r="J42">
        <v>624.00000000000045</v>
      </c>
      <c r="K42">
        <v>2.9435484208920939</v>
      </c>
      <c r="L42">
        <v>183.82737678046391</v>
      </c>
      <c r="M42">
        <v>20.458556429512708</v>
      </c>
      <c r="N42">
        <v>624.00000000000045</v>
      </c>
      <c r="O42">
        <v>8.3549048162138622</v>
      </c>
      <c r="P42">
        <v>624.00000000000045</v>
      </c>
      <c r="Q42">
        <v>1.9808279803683091</v>
      </c>
      <c r="R42">
        <v>624.00000000000045</v>
      </c>
      <c r="S42">
        <v>3.1244134629157578</v>
      </c>
      <c r="T42">
        <v>624.00000000000045</v>
      </c>
      <c r="U42">
        <v>11.21961233751709</v>
      </c>
    </row>
    <row r="43" spans="1:21" x14ac:dyDescent="0.3">
      <c r="A43">
        <v>640.00000000000045</v>
      </c>
      <c r="B43">
        <v>3.6495995297892376</v>
      </c>
      <c r="C43">
        <v>16.06478939845746</v>
      </c>
      <c r="D43">
        <v>39.97733681393705</v>
      </c>
      <c r="E43">
        <v>71.547405077681958</v>
      </c>
      <c r="F43">
        <v>105.39451269370549</v>
      </c>
      <c r="G43">
        <f t="shared" si="1"/>
        <v>8.8137203094011198</v>
      </c>
      <c r="H43" cm="1">
        <f t="array" ref="H43">_xll.SRS1Splines.Functions25.Cubic_Spline($Z$9:$Z$13,B43:F43,$X$9)</f>
        <v>8.8921900947390604</v>
      </c>
      <c r="J43">
        <v>640.00000000000045</v>
      </c>
      <c r="K43">
        <v>2.9618760535368547</v>
      </c>
      <c r="L43">
        <v>210.12222435230211</v>
      </c>
      <c r="M43">
        <v>20.92906736880386</v>
      </c>
      <c r="N43">
        <v>640.00000000000045</v>
      </c>
      <c r="O43">
        <v>8.4131922183357908</v>
      </c>
      <c r="P43">
        <v>640.00000000000045</v>
      </c>
      <c r="Q43">
        <v>2.0024578337765822</v>
      </c>
      <c r="R43">
        <v>640.00000000000045</v>
      </c>
      <c r="S43">
        <v>3.1868076050481071</v>
      </c>
      <c r="T43">
        <v>640.00000000000045</v>
      </c>
      <c r="U43">
        <v>11.29910787720871</v>
      </c>
    </row>
    <row r="44" spans="1:21" x14ac:dyDescent="0.3">
      <c r="A44">
        <v>656.00000000000045</v>
      </c>
      <c r="B44">
        <v>3.6796664860196078</v>
      </c>
      <c r="C44">
        <v>16.160156298974741</v>
      </c>
      <c r="D44">
        <v>40.168768410057837</v>
      </c>
      <c r="E44">
        <v>71.853993147826927</v>
      </c>
      <c r="F44">
        <v>105.8328780297726</v>
      </c>
      <c r="G44">
        <f t="shared" si="1"/>
        <v>8.8871158517093729</v>
      </c>
      <c r="H44" cm="1">
        <f t="array" ref="H44">_xll.SRS1Splines.Functions25.Cubic_Spline($Z$9:$Z$13,B44:F44,$X$9)</f>
        <v>8.9522169006934806</v>
      </c>
      <c r="J44">
        <v>656.00000000000045</v>
      </c>
      <c r="K44">
        <v>2.9802411702303253</v>
      </c>
      <c r="L44">
        <v>240.17831261056941</v>
      </c>
      <c r="M44">
        <v>21.43840616551892</v>
      </c>
      <c r="N44">
        <v>656.00000000000045</v>
      </c>
      <c r="O44">
        <v>8.4711732803790429</v>
      </c>
      <c r="P44">
        <v>656.00000000000045</v>
      </c>
      <c r="Q44">
        <v>2.024179017275439</v>
      </c>
      <c r="R44">
        <v>656.00000000000045</v>
      </c>
      <c r="S44">
        <v>3.24972761721954</v>
      </c>
      <c r="T44">
        <v>656.00000000000045</v>
      </c>
      <c r="U44">
        <v>11.378297239045171</v>
      </c>
    </row>
    <row r="45" spans="1:21" x14ac:dyDescent="0.3">
      <c r="A45">
        <v>672.00000000000045</v>
      </c>
      <c r="B45">
        <v>3.7096916368835799</v>
      </c>
      <c r="C45">
        <v>16.25475405166447</v>
      </c>
      <c r="D45">
        <v>40.357314492139047</v>
      </c>
      <c r="E45">
        <v>72.153544480909673</v>
      </c>
      <c r="F45">
        <v>106.2579502702928</v>
      </c>
      <c r="G45">
        <f t="shared" si="1"/>
        <v>8.9605113940176242</v>
      </c>
      <c r="H45" cm="1">
        <f t="array" ref="H45">_xll.SRS1Splines.Functions25.Cubic_Spline($Z$9:$Z$13,B45:F45,$X$9)</f>
        <v>9.0119373443220105</v>
      </c>
      <c r="J45">
        <v>672.00000000000045</v>
      </c>
      <c r="K45">
        <v>2.9986437736231673</v>
      </c>
      <c r="L45">
        <v>274.53365309773994</v>
      </c>
      <c r="M45">
        <v>21.991895161123711</v>
      </c>
      <c r="N45">
        <v>672.00000000000045</v>
      </c>
      <c r="O45">
        <v>8.528876281740688</v>
      </c>
      <c r="P45">
        <v>672.00000000000045</v>
      </c>
      <c r="Q45">
        <v>2.0459937779954762</v>
      </c>
      <c r="R45">
        <v>672.00000000000045</v>
      </c>
      <c r="S45">
        <v>3.3131721379192163</v>
      </c>
      <c r="T45">
        <v>672.00000000000045</v>
      </c>
      <c r="U45">
        <v>11.457213297243831</v>
      </c>
    </row>
    <row r="46" spans="1:21" x14ac:dyDescent="0.3">
      <c r="A46">
        <v>688.00000000000045</v>
      </c>
      <c r="B46">
        <v>3.7396847047115189</v>
      </c>
      <c r="C46">
        <v>16.34863995275002</v>
      </c>
      <c r="D46">
        <v>40.543176743711932</v>
      </c>
      <c r="E46">
        <v>72.446584705690071</v>
      </c>
      <c r="F46">
        <v>106.67077898061841</v>
      </c>
      <c r="G46">
        <f t="shared" si="1"/>
        <v>9.0339069363258773</v>
      </c>
      <c r="H46" cm="1">
        <f t="array" ref="H46">_xll.SRS1Splines.Functions25.Cubic_Spline($Z$9:$Z$13,B46:F46,$X$9)</f>
        <v>9.0713786806990502</v>
      </c>
      <c r="J46">
        <v>688.00000000000045</v>
      </c>
      <c r="K46">
        <v>3.017083927415166</v>
      </c>
      <c r="L46">
        <v>313.80321505295427</v>
      </c>
      <c r="M46">
        <v>22.595108105933939</v>
      </c>
      <c r="N46">
        <v>688.00000000000045</v>
      </c>
      <c r="O46">
        <v>8.5863270924731516</v>
      </c>
      <c r="P46">
        <v>688.00000000000045</v>
      </c>
      <c r="Q46">
        <v>2.067904078562687</v>
      </c>
      <c r="R46">
        <v>688.00000000000045</v>
      </c>
      <c r="S46">
        <v>3.3771396646957168</v>
      </c>
      <c r="T46">
        <v>688.00000000000045</v>
      </c>
      <c r="U46">
        <v>11.535885931875971</v>
      </c>
    </row>
    <row r="47" spans="1:21" x14ac:dyDescent="0.3">
      <c r="A47">
        <v>704.00000000000057</v>
      </c>
      <c r="B47">
        <v>3.7696546332787513</v>
      </c>
      <c r="C47">
        <v>16.441866370460321</v>
      </c>
      <c r="D47">
        <v>40.726537801216438</v>
      </c>
      <c r="E47">
        <v>72.733585623693344</v>
      </c>
      <c r="F47">
        <v>107.0723026583801</v>
      </c>
      <c r="G47">
        <f t="shared" si="1"/>
        <v>9.1073024786341303</v>
      </c>
      <c r="H47" cm="1">
        <f t="array" ref="H47">_xll.SRS1Splines.Functions25.Cubic_Spline($Z$9:$Z$13,B47:F47,$X$9)</f>
        <v>9.13056591002392</v>
      </c>
      <c r="J47">
        <v>704.00000000000057</v>
      </c>
      <c r="K47">
        <v>3.0355617674375979</v>
      </c>
      <c r="L47">
        <v>358.68993351613761</v>
      </c>
      <c r="M47">
        <v>23.254260424935179</v>
      </c>
      <c r="N47">
        <v>704.00000000000057</v>
      </c>
      <c r="O47">
        <v>8.6435494283153087</v>
      </c>
      <c r="P47">
        <v>704.00000000000057</v>
      </c>
      <c r="Q47">
        <v>2.0899116352021991</v>
      </c>
      <c r="R47">
        <v>704.00000000000057</v>
      </c>
      <c r="S47">
        <v>3.441628563254532</v>
      </c>
      <c r="T47">
        <v>704.00000000000057</v>
      </c>
      <c r="U47">
        <v>11.61434237300411</v>
      </c>
    </row>
    <row r="48" spans="1:21" x14ac:dyDescent="0.3">
      <c r="A48">
        <v>720.00000000000057</v>
      </c>
      <c r="B48">
        <v>3.7996096669711981</v>
      </c>
      <c r="C48">
        <v>16.534481272966747</v>
      </c>
      <c r="D48">
        <v>40.907563502241992</v>
      </c>
      <c r="E48">
        <v>73.014971968002257</v>
      </c>
      <c r="F48">
        <v>107.4633627770083</v>
      </c>
      <c r="G48">
        <f t="shared" si="1"/>
        <v>9.1806980209423834</v>
      </c>
      <c r="H48" cm="1">
        <f t="array" ref="H48">_xll.SRS1Splines.Functions25.Cubic_Spline($Z$9:$Z$13,B48:F48,$X$9)</f>
        <v>9.18952200961294</v>
      </c>
      <c r="J48">
        <v>720.00000000000057</v>
      </c>
      <c r="K48">
        <v>3.0540775108947709</v>
      </c>
      <c r="L48">
        <v>409.99729204208461</v>
      </c>
      <c r="M48">
        <v>23.97649657258982</v>
      </c>
      <c r="N48">
        <v>720.00000000000057</v>
      </c>
      <c r="O48">
        <v>8.700565074490564</v>
      </c>
      <c r="P48">
        <v>720.00000000000057</v>
      </c>
      <c r="Q48">
        <v>2.112017950000646</v>
      </c>
      <c r="R48">
        <v>720.00000000000057</v>
      </c>
      <c r="S48">
        <v>3.5066370759118</v>
      </c>
      <c r="T48">
        <v>720.00000000000057</v>
      </c>
      <c r="U48">
        <v>11.69260749773108</v>
      </c>
    </row>
    <row r="49" spans="1:21" x14ac:dyDescent="0.3">
      <c r="A49">
        <v>736.00000000000057</v>
      </c>
      <c r="B49">
        <v>3.8295574206093197</v>
      </c>
      <c r="C49">
        <v>16.62652869026887</v>
      </c>
      <c r="D49">
        <v>41.086404821987081</v>
      </c>
      <c r="E49">
        <v>73.291127183264024</v>
      </c>
      <c r="F49">
        <v>107.84471583078451</v>
      </c>
      <c r="G49">
        <f t="shared" si="1"/>
        <v>9.2540935632506347</v>
      </c>
      <c r="H49" cm="1">
        <f t="array" ref="H49">_xll.SRS1Splines.Functions25.Cubic_Spline($Z$9:$Z$13,B49:F49,$X$9)</f>
        <v>9.2482681382590393</v>
      </c>
      <c r="J49">
        <v>736.00000000000057</v>
      </c>
      <c r="K49">
        <v>3.0726314640717769</v>
      </c>
      <c r="L49">
        <v>468.64370525826223</v>
      </c>
      <c r="M49">
        <v>24.77013166850217</v>
      </c>
      <c r="N49">
        <v>736.00000000000057</v>
      </c>
      <c r="O49">
        <v>8.7573940824722634</v>
      </c>
      <c r="P49">
        <v>736.00000000000057</v>
      </c>
      <c r="Q49">
        <v>2.1342243383249939</v>
      </c>
      <c r="R49">
        <v>736.00000000000057</v>
      </c>
      <c r="S49">
        <v>3.5721633294622421</v>
      </c>
      <c r="T49">
        <v>736.00000000000057</v>
      </c>
      <c r="U49">
        <v>11.7707040875309</v>
      </c>
    </row>
    <row r="50" spans="1:21" x14ac:dyDescent="0.3">
      <c r="A50">
        <v>752.00000000000057</v>
      </c>
      <c r="B50">
        <v>3.8595049411427742</v>
      </c>
      <c r="C50">
        <v>16.718049119252807</v>
      </c>
      <c r="D50">
        <v>41.263199546817503</v>
      </c>
      <c r="E50">
        <v>73.56239838502114</v>
      </c>
      <c r="F50">
        <v>108.2170436893007</v>
      </c>
      <c r="G50">
        <f t="shared" si="1"/>
        <v>9.3274891055588878</v>
      </c>
      <c r="H50" cm="1">
        <f t="array" ref="H50">_xll.SRS1Splines.Functions25.Cubic_Spline($Z$9:$Z$13,B50:F50,$X$9)</f>
        <v>9.3068238165905992</v>
      </c>
      <c r="J50">
        <v>752.00000000000057</v>
      </c>
      <c r="K50">
        <v>3.0912240287278743</v>
      </c>
      <c r="L50">
        <v>535.67895871772987</v>
      </c>
      <c r="M50">
        <v>25.644878261752041</v>
      </c>
      <c r="N50">
        <v>752.00000000000057</v>
      </c>
      <c r="O50">
        <v>8.8140549433278945</v>
      </c>
      <c r="P50">
        <v>752.00000000000057</v>
      </c>
      <c r="Q50">
        <v>2.1565319522087711</v>
      </c>
      <c r="R50">
        <v>752.00000000000057</v>
      </c>
      <c r="S50">
        <v>3.6382053425141372</v>
      </c>
      <c r="T50">
        <v>752.00000000000057</v>
      </c>
      <c r="U50">
        <v>11.84865305194795</v>
      </c>
    </row>
    <row r="51" spans="1:21" x14ac:dyDescent="0.3">
      <c r="A51">
        <v>768.00000000000057</v>
      </c>
      <c r="B51">
        <v>3.8894587622649102</v>
      </c>
      <c r="C51">
        <v>16.80907987975727</v>
      </c>
      <c r="D51">
        <v>41.438073725355927</v>
      </c>
      <c r="E51">
        <v>73.829100628054277</v>
      </c>
      <c r="F51">
        <v>108.5809625195008</v>
      </c>
      <c r="G51">
        <f t="shared" si="1"/>
        <v>9.4008846478671408</v>
      </c>
      <c r="H51" cm="1">
        <f t="array" ref="H51">_xll.SRS1Splines.Functions25.Cubic_Spline($Z$9:$Z$13,B51:F51,$X$9)</f>
        <v>9.3652070865337897</v>
      </c>
      <c r="J51">
        <v>768.00000000000057</v>
      </c>
      <c r="K51">
        <v>3.1098557073342747</v>
      </c>
      <c r="L51">
        <v>612.30300032468506</v>
      </c>
      <c r="M51">
        <v>26.61207635935904</v>
      </c>
      <c r="N51">
        <v>768.00000000000057</v>
      </c>
      <c r="O51">
        <v>8.870564740743724</v>
      </c>
      <c r="P51">
        <v>768.00000000000057</v>
      </c>
      <c r="Q51">
        <v>2.1789418003676451</v>
      </c>
      <c r="R51">
        <v>768.00000000000057</v>
      </c>
      <c r="S51">
        <v>3.7047610323378888</v>
      </c>
      <c r="T51">
        <v>768.00000000000057</v>
      </c>
      <c r="U51">
        <v>11.926473623710629</v>
      </c>
    </row>
    <row r="52" spans="1:21" x14ac:dyDescent="0.3">
      <c r="A52">
        <v>784.00000000000057</v>
      </c>
      <c r="B52">
        <v>3.9194249528524558</v>
      </c>
      <c r="C52">
        <v>16.899655428316272</v>
      </c>
      <c r="D52">
        <v>41.611142930668208</v>
      </c>
      <c r="E52">
        <v>74.091520591022856</v>
      </c>
      <c r="F52">
        <v>108.9370304918496</v>
      </c>
      <c r="G52">
        <f t="shared" si="1"/>
        <v>9.4742801901753921</v>
      </c>
      <c r="H52" cm="1">
        <f t="array" ref="H52">_xll.SRS1Splines.Functions25.Cubic_Spline($Z$9:$Z$13,B52:F52,$X$9)</f>
        <v>9.4234346525590293</v>
      </c>
      <c r="J52">
        <v>784.00000000000057</v>
      </c>
      <c r="K52">
        <v>3.128527107275096</v>
      </c>
      <c r="L52">
        <v>699.8874197038765</v>
      </c>
      <c r="M52">
        <v>27.684938382957249</v>
      </c>
      <c r="N52">
        <v>784.00000000000057</v>
      </c>
      <c r="O52">
        <v>8.9269392863938872</v>
      </c>
      <c r="P52">
        <v>784.00000000000057</v>
      </c>
      <c r="Q52">
        <v>2.2014547653870151</v>
      </c>
      <c r="R52">
        <v>784.00000000000057</v>
      </c>
      <c r="S52">
        <v>3.7718282212705003</v>
      </c>
      <c r="T52">
        <v>784.00000000000057</v>
      </c>
      <c r="U52">
        <v>12.00418352946024</v>
      </c>
    </row>
    <row r="53" spans="1:21" x14ac:dyDescent="0.3">
      <c r="A53">
        <v>800</v>
      </c>
      <c r="B53">
        <v>3.9494091600128725</v>
      </c>
      <c r="C53">
        <v>16.98980763525719</v>
      </c>
      <c r="D53">
        <v>41.782513361511995</v>
      </c>
      <c r="E53">
        <v>74.349919766880888</v>
      </c>
      <c r="F53">
        <v>109.2857544524702</v>
      </c>
      <c r="G53">
        <f t="shared" si="1"/>
        <v>9.5476757324836434</v>
      </c>
      <c r="H53" cm="1">
        <f t="array" ref="H53">_xll.SRS1Splines.Functions25.Cubic_Spline($Z$9:$Z$13,B53:F53,$X$9)</f>
        <v>9.4815220070395796</v>
      </c>
      <c r="J53">
        <v>800</v>
      </c>
      <c r="K53">
        <v>3.1472389441031989</v>
      </c>
      <c r="L53">
        <v>800</v>
      </c>
      <c r="M53">
        <v>28.878817286612041</v>
      </c>
      <c r="N53">
        <v>800</v>
      </c>
      <c r="O53">
        <v>8.9831932399421532</v>
      </c>
      <c r="P53">
        <v>800</v>
      </c>
      <c r="Q53">
        <v>2.2240716185283818</v>
      </c>
      <c r="R53">
        <v>800</v>
      </c>
      <c r="S53">
        <v>3.8394046427140123</v>
      </c>
      <c r="T53">
        <v>800</v>
      </c>
      <c r="U53">
        <v>12.08179913960471</v>
      </c>
    </row>
  </sheetData>
  <mergeCells count="9">
    <mergeCell ref="X15:Z15"/>
    <mergeCell ref="W16:W18"/>
    <mergeCell ref="W19:W21"/>
    <mergeCell ref="J1:K1"/>
    <mergeCell ref="N1:O1"/>
    <mergeCell ref="L1:M1"/>
    <mergeCell ref="P1:Q1"/>
    <mergeCell ref="R1:S1"/>
    <mergeCell ref="T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24</xdr:col>
                    <xdr:colOff>0</xdr:colOff>
                    <xdr:row>11</xdr:row>
                    <xdr:rowOff>0</xdr:rowOff>
                  </from>
                  <to>
                    <xdr:col>24</xdr:col>
                    <xdr:colOff>83820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24</xdr:col>
                    <xdr:colOff>0</xdr:colOff>
                    <xdr:row>8</xdr:row>
                    <xdr:rowOff>0</xdr:rowOff>
                  </from>
                  <to>
                    <xdr:col>24</xdr:col>
                    <xdr:colOff>83820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MOS_Id_wrt_Vds_GPDK">
                <anchor moveWithCells="1" sizeWithCells="1">
                  <from>
                    <xdr:col>23</xdr:col>
                    <xdr:colOff>0</xdr:colOff>
                    <xdr:row>15</xdr:row>
                    <xdr:rowOff>0</xdr:rowOff>
                  </from>
                  <to>
                    <xdr:col>24</xdr:col>
                    <xdr:colOff>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NMOS_Id_wrt_Vds_PTM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NMOS_Id_wrt_Vds_SAED14">
                <anchor moveWithCells="1" sizeWithCells="1">
                  <from>
                    <xdr:col>25</xdr:col>
                    <xdr:colOff>0</xdr:colOff>
                    <xdr:row>15</xdr:row>
                    <xdr:rowOff>0</xdr:rowOff>
                  </from>
                  <to>
                    <xdr:col>25</xdr:col>
                    <xdr:colOff>609600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PMOS_Id_wrt_Vds_GPDK">
                <anchor moveWithCells="1" sizeWithCells="1">
                  <from>
                    <xdr:col>23</xdr:col>
                    <xdr:colOff>0</xdr:colOff>
                    <xdr:row>18</xdr:row>
                    <xdr:rowOff>0</xdr:rowOff>
                  </from>
                  <to>
                    <xdr:col>24</xdr:col>
                    <xdr:colOff>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PMOS_Id_wrt_Vds_PTM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PMOS_Id_wrt_Vds_SAED14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609600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Spinner 11">
              <controlPr defaultSize="0" autoPict="0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24</xdr:col>
                    <xdr:colOff>83820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613-7ACA-45F7-922A-0C5D19D2B979}">
  <sheetPr codeName="Foaie15"/>
  <dimension ref="A1:AA53"/>
  <sheetViews>
    <sheetView topLeftCell="V1" workbookViewId="0">
      <selection activeCell="W2" sqref="W2"/>
    </sheetView>
  </sheetViews>
  <sheetFormatPr defaultRowHeight="14.4" x14ac:dyDescent="0.3"/>
  <cols>
    <col min="1" max="1" width="6.21875" bestFit="1" customWidth="1"/>
    <col min="2" max="6" width="31.109375" bestFit="1" customWidth="1"/>
    <col min="7" max="7" width="12.6640625" bestFit="1" customWidth="1"/>
    <col min="8" max="8" width="20.5546875" bestFit="1" customWidth="1"/>
    <col min="10" max="10" width="6.21875" bestFit="1" customWidth="1"/>
    <col min="11" max="11" width="12.109375" bestFit="1" customWidth="1"/>
    <col min="12" max="12" width="6.21875" bestFit="1" customWidth="1"/>
    <col min="13" max="13" width="12.109375" bestFit="1" customWidth="1"/>
    <col min="14" max="14" width="6.21875" bestFit="1" customWidth="1"/>
    <col min="15" max="15" width="12.109375" bestFit="1" customWidth="1"/>
    <col min="16" max="16" width="6.21875" bestFit="1" customWidth="1"/>
    <col min="17" max="17" width="12.109375" bestFit="1" customWidth="1"/>
    <col min="18" max="18" width="6.21875" bestFit="1" customWidth="1"/>
    <col min="19" max="19" width="12.109375" bestFit="1" customWidth="1"/>
    <col min="20" max="20" width="6.21875" bestFit="1" customWidth="1"/>
    <col min="21" max="21" width="12.109375" bestFit="1" customWidth="1"/>
    <col min="23" max="23" width="25" bestFit="1" customWidth="1"/>
  </cols>
  <sheetData>
    <row r="1" spans="1:27" x14ac:dyDescent="0.3">
      <c r="A1" s="1" t="s">
        <v>25</v>
      </c>
      <c r="B1" s="1" t="s">
        <v>23</v>
      </c>
      <c r="C1" s="1" t="s">
        <v>23</v>
      </c>
      <c r="D1" s="1" t="s">
        <v>23</v>
      </c>
      <c r="E1" s="1" t="s">
        <v>23</v>
      </c>
      <c r="F1" s="1" t="s">
        <v>23</v>
      </c>
      <c r="G1" s="1" t="s">
        <v>23</v>
      </c>
      <c r="H1" s="1" t="s">
        <v>23</v>
      </c>
      <c r="J1" s="38" t="s">
        <v>144</v>
      </c>
      <c r="K1" s="38"/>
      <c r="L1" s="38" t="s">
        <v>146</v>
      </c>
      <c r="M1" s="38"/>
      <c r="N1" s="39" t="s">
        <v>145</v>
      </c>
      <c r="O1" s="39"/>
      <c r="P1" s="38" t="s">
        <v>147</v>
      </c>
      <c r="Q1" s="38"/>
      <c r="R1" s="38" t="s">
        <v>148</v>
      </c>
      <c r="S1" s="38"/>
      <c r="T1" s="39" t="s">
        <v>149</v>
      </c>
      <c r="U1" s="39"/>
    </row>
    <row r="2" spans="1:27" x14ac:dyDescent="0.3">
      <c r="A2" t="s">
        <v>0</v>
      </c>
      <c r="B2" t="s">
        <v>76</v>
      </c>
      <c r="C2" t="s">
        <v>77</v>
      </c>
      <c r="D2" t="s">
        <v>78</v>
      </c>
      <c r="E2" t="s">
        <v>79</v>
      </c>
      <c r="F2" t="s">
        <v>80</v>
      </c>
      <c r="G2" t="s">
        <v>64</v>
      </c>
      <c r="H2" t="s">
        <v>73</v>
      </c>
      <c r="J2" t="s">
        <v>0</v>
      </c>
      <c r="K2" t="s">
        <v>90</v>
      </c>
      <c r="L2" t="s">
        <v>0</v>
      </c>
      <c r="M2" t="s">
        <v>90</v>
      </c>
      <c r="N2" t="s">
        <v>0</v>
      </c>
      <c r="O2" t="s">
        <v>90</v>
      </c>
      <c r="P2" t="s">
        <v>0</v>
      </c>
      <c r="Q2" t="s">
        <v>90</v>
      </c>
      <c r="R2" t="s">
        <v>0</v>
      </c>
      <c r="S2" t="s">
        <v>90</v>
      </c>
      <c r="T2" t="s">
        <v>0</v>
      </c>
      <c r="U2" t="s">
        <v>90</v>
      </c>
      <c r="W2" s="16" t="s">
        <v>74</v>
      </c>
      <c r="X2" s="6" t="s">
        <v>32</v>
      </c>
      <c r="Y2" s="6" t="s">
        <v>33</v>
      </c>
      <c r="Z2" s="6" t="s">
        <v>34</v>
      </c>
      <c r="AA2" s="6" t="s">
        <v>35</v>
      </c>
    </row>
    <row r="3" spans="1:27" x14ac:dyDescent="0.3">
      <c r="A3">
        <v>0</v>
      </c>
      <c r="B3">
        <v>3.9650855836769333E-3</v>
      </c>
      <c r="C3">
        <v>4.1538880725955378E-3</v>
      </c>
      <c r="D3">
        <v>4.3344744264351507E-3</v>
      </c>
      <c r="E3">
        <v>4.5734287532182326E-3</v>
      </c>
      <c r="F3">
        <v>5.9782539689301932E-3</v>
      </c>
      <c r="G3">
        <f t="shared" ref="G3:G34" si="0">SQRT(IF((A3/1000)&lt;$X$10,0,IF($X$9&lt;(A3/1000)*$X$3+$Y$3/1000,4*$X$11*$X$9*((A3/1000)-($X$13*(A3/1000)+$Y$4)*$X$10-($X$5*(A3/1000)*(A3/1000)+$Y$5*(A3/1000)+$Z$5)*$X$9)*(1+$X$9*($X$6*(A3/1000)*(A3/1000)*(A3/1000)+$Y$6*(A3/1000)*(A3/1000)+$Z$6*(A3/1000)+$AA$6)),($X$11/$X$12)*((A3/1000)-$X$10)*((A3/1000)-$X$10)*(1+$X$9*($X$6*(A3/1000)*(A3/1000)*(A3/1000)+$Y$6*(A3/1000)*(A3/1000)+$Z$6*(A3/1000)+$AA$6)))))</f>
        <v>0</v>
      </c>
      <c r="H3" cm="1">
        <f t="array" ref="H3">_xll.SRS1Splines.Functions25.Cubic_Spline($Z$9:$Z$13,B3:F3,$X$9)</f>
        <v>4.05406836627706E-3</v>
      </c>
      <c r="J3">
        <v>0</v>
      </c>
      <c r="K3">
        <v>2.8550722135094547E-2</v>
      </c>
      <c r="L3">
        <v>0</v>
      </c>
      <c r="M3">
        <v>1.7164256581809084E-3</v>
      </c>
      <c r="N3">
        <v>0</v>
      </c>
      <c r="O3">
        <v>4.0632497900526194E-3</v>
      </c>
      <c r="P3">
        <v>0</v>
      </c>
      <c r="Q3">
        <v>2.5060122942320447E-3</v>
      </c>
      <c r="R3">
        <v>0</v>
      </c>
      <c r="S3">
        <v>1.506810344107533E-3</v>
      </c>
      <c r="T3">
        <v>0</v>
      </c>
      <c r="U3">
        <v>4.2777396104161083E-3</v>
      </c>
      <c r="W3" s="12" t="s">
        <v>65</v>
      </c>
      <c r="X3" s="12" cm="1">
        <f t="array" ref="X3:Y3">_xlfn.ANCHORARRAY(Vds_sat!B4)</f>
        <v>0.35200000000000031</v>
      </c>
      <c r="Y3" s="12">
        <v>-48.000000000000142</v>
      </c>
      <c r="Z3" s="14"/>
      <c r="AA3" s="13"/>
    </row>
    <row r="4" spans="1:27" x14ac:dyDescent="0.3">
      <c r="A4">
        <v>16</v>
      </c>
      <c r="B4">
        <v>5.1195100693148523E-3</v>
      </c>
      <c r="C4">
        <v>5.360118783425182E-3</v>
      </c>
      <c r="D4">
        <v>5.6032681536068848E-3</v>
      </c>
      <c r="E4">
        <v>5.9026638731335072E-3</v>
      </c>
      <c r="F4">
        <v>6.8208178852968426E-3</v>
      </c>
      <c r="G4">
        <f t="shared" si="0"/>
        <v>0</v>
      </c>
      <c r="H4" cm="1">
        <f t="array" ref="H4">_xll.SRS1Splines.Functions25.Cubic_Spline($Z$9:$Z$13,B4:F4,$X$9)</f>
        <v>5.23692235447497E-3</v>
      </c>
      <c r="J4">
        <v>16</v>
      </c>
      <c r="K4">
        <v>3.3509210059632664E-2</v>
      </c>
      <c r="L4">
        <v>16</v>
      </c>
      <c r="M4">
        <v>2.1560826872207353E-3</v>
      </c>
      <c r="N4">
        <v>16</v>
      </c>
      <c r="O4">
        <v>5.2400550200745969E-3</v>
      </c>
      <c r="P4">
        <v>16</v>
      </c>
      <c r="Q4">
        <v>3.4143380983831097E-3</v>
      </c>
      <c r="R4">
        <v>16</v>
      </c>
      <c r="S4">
        <v>1.9542636243095718E-3</v>
      </c>
      <c r="T4">
        <v>16</v>
      </c>
      <c r="U4">
        <v>5.6694615081588221E-3</v>
      </c>
      <c r="W4" s="14" t="s">
        <v>66</v>
      </c>
      <c r="X4" s="14" cm="1">
        <f t="array" ref="X4:Y4">_xlfn.ANCHORARRAY(VT0_and_Vds_coeffs!R13)</f>
        <v>3.2180323110515534</v>
      </c>
      <c r="Y4" s="14">
        <v>-4.5348183777121465E-2</v>
      </c>
      <c r="Z4" s="14"/>
      <c r="AA4" s="13"/>
    </row>
    <row r="5" spans="1:27" x14ac:dyDescent="0.3">
      <c r="A5">
        <v>32</v>
      </c>
      <c r="B5">
        <v>6.6299105389534653E-3</v>
      </c>
      <c r="C5">
        <v>6.9326721602594584E-3</v>
      </c>
      <c r="D5">
        <v>7.2351161393286343E-3</v>
      </c>
      <c r="E5">
        <v>7.566810848683379E-3</v>
      </c>
      <c r="F5">
        <v>8.2610462332865092E-3</v>
      </c>
      <c r="G5">
        <f t="shared" si="0"/>
        <v>0</v>
      </c>
      <c r="H5" cm="1">
        <f t="array" ref="H5">_xll.SRS1Splines.Functions25.Cubic_Spline($Z$9:$Z$13,B5:F5,$X$9)</f>
        <v>6.7796790296027502E-3</v>
      </c>
      <c r="J5">
        <v>32</v>
      </c>
      <c r="K5">
        <v>3.9873704091636882E-2</v>
      </c>
      <c r="L5">
        <v>32</v>
      </c>
      <c r="M5">
        <v>2.7409076831086958E-3</v>
      </c>
      <c r="N5">
        <v>32</v>
      </c>
      <c r="O5">
        <v>6.7818750655837942E-3</v>
      </c>
      <c r="P5">
        <v>32</v>
      </c>
      <c r="Q5">
        <v>4.6518203427789286E-3</v>
      </c>
      <c r="R5">
        <v>32</v>
      </c>
      <c r="S5">
        <v>2.5345895321960479E-3</v>
      </c>
      <c r="T5">
        <v>32</v>
      </c>
      <c r="U5">
        <v>7.5139487429774221E-3</v>
      </c>
      <c r="W5" s="12" t="s">
        <v>67</v>
      </c>
      <c r="X5" s="12" cm="1">
        <f t="array" ref="X5:Z5">_xlfn.ANCHORARRAY(VT0_and_Vds_coeffs!R19)</f>
        <v>-0.94886604132112917</v>
      </c>
      <c r="Y5" s="12">
        <v>1.4714449574881796</v>
      </c>
      <c r="Z5" s="12">
        <v>-0.37271720289243437</v>
      </c>
      <c r="AA5" s="13"/>
    </row>
    <row r="6" spans="1:27" x14ac:dyDescent="0.3">
      <c r="A6">
        <v>48</v>
      </c>
      <c r="B6">
        <v>8.6015958090664285E-3</v>
      </c>
      <c r="C6">
        <v>8.9878248553901512E-3</v>
      </c>
      <c r="D6">
        <v>9.3713385385231947E-3</v>
      </c>
      <c r="E6">
        <v>9.7703039379334004E-3</v>
      </c>
      <c r="F6">
        <v>1.0374479993475391E-2</v>
      </c>
      <c r="G6">
        <f t="shared" si="0"/>
        <v>0</v>
      </c>
      <c r="H6" cm="1">
        <f t="array" ref="H6">_xll.SRS1Splines.Functions25.Cubic_Spline($Z$9:$Z$13,B6:F6,$X$9)</f>
        <v>8.7940227875196106E-3</v>
      </c>
      <c r="J6">
        <v>48</v>
      </c>
      <c r="K6">
        <v>4.79046011351544E-2</v>
      </c>
      <c r="L6">
        <v>48</v>
      </c>
      <c r="M6">
        <v>3.5113921242079073E-3</v>
      </c>
      <c r="N6">
        <v>48</v>
      </c>
      <c r="O6">
        <v>8.7956671752977018E-3</v>
      </c>
      <c r="P6">
        <v>48</v>
      </c>
      <c r="Q6">
        <v>6.3376204102929953E-3</v>
      </c>
      <c r="R6">
        <v>48</v>
      </c>
      <c r="S6">
        <v>3.2872445513391271E-3</v>
      </c>
      <c r="T6">
        <v>48</v>
      </c>
      <c r="U6">
        <v>9.9584463926219186E-3</v>
      </c>
      <c r="W6" s="14" t="s">
        <v>68</v>
      </c>
      <c r="X6" s="14" cm="1">
        <f t="array" ref="X6:AA6">_xlfn.ANCHORARRAY(Lambda!L13)</f>
        <v>-13.204928572152614</v>
      </c>
      <c r="Y6" s="14">
        <v>30.235379398305295</v>
      </c>
      <c r="Z6" s="14">
        <v>-21.077760643194292</v>
      </c>
      <c r="AA6" s="13">
        <v>5.3460456747962102</v>
      </c>
    </row>
    <row r="7" spans="1:27" x14ac:dyDescent="0.3">
      <c r="A7">
        <v>64</v>
      </c>
      <c r="B7">
        <v>1.11714150425086E-2</v>
      </c>
      <c r="C7">
        <v>1.1668163621785601E-2</v>
      </c>
      <c r="D7">
        <v>1.2159845865024919E-2</v>
      </c>
      <c r="E7">
        <v>1.2660176249948821E-2</v>
      </c>
      <c r="F7">
        <v>1.3275215643887971E-2</v>
      </c>
      <c r="G7">
        <f t="shared" si="0"/>
        <v>0</v>
      </c>
      <c r="H7" cm="1">
        <f t="array" ref="H7">_xll.SRS1Splines.Functions25.Cubic_Spline($Z$9:$Z$13,B7:F7,$X$9)</f>
        <v>1.1419761733474899E-2</v>
      </c>
      <c r="J7">
        <v>64</v>
      </c>
      <c r="K7">
        <v>5.791738771790747E-2</v>
      </c>
      <c r="L7">
        <v>64</v>
      </c>
      <c r="M7">
        <v>4.5202855637166911E-3</v>
      </c>
      <c r="N7">
        <v>64</v>
      </c>
      <c r="O7">
        <v>1.1421177477386607E-2</v>
      </c>
      <c r="P7">
        <v>64</v>
      </c>
      <c r="Q7">
        <v>8.6338703685478468E-3</v>
      </c>
      <c r="R7">
        <v>64</v>
      </c>
      <c r="S7">
        <v>4.2634011883954468E-3</v>
      </c>
      <c r="T7">
        <v>64</v>
      </c>
      <c r="U7">
        <v>1.3198073278870409E-2</v>
      </c>
      <c r="X7" s="23">
        <v>175</v>
      </c>
      <c r="Y7" s="23">
        <v>5</v>
      </c>
      <c r="Z7" s="23">
        <v>206</v>
      </c>
    </row>
    <row r="8" spans="1:27" x14ac:dyDescent="0.3">
      <c r="A8">
        <v>80</v>
      </c>
      <c r="B8">
        <v>1.4517764171883879E-2</v>
      </c>
      <c r="C8">
        <v>1.515970292773075E-2</v>
      </c>
      <c r="D8">
        <v>1.5793991865414359E-2</v>
      </c>
      <c r="E8">
        <v>1.64337382830212E-2</v>
      </c>
      <c r="F8">
        <v>1.7138721793398662E-2</v>
      </c>
      <c r="G8">
        <f t="shared" si="0"/>
        <v>0</v>
      </c>
      <c r="H8" cm="1">
        <f t="array" ref="H8">_xll.SRS1Splines.Functions25.Cubic_Spline($Z$9:$Z$13,B8:F8,$X$9)</f>
        <v>1.4839211273687E-2</v>
      </c>
      <c r="J8">
        <v>80</v>
      </c>
      <c r="K8">
        <v>7.0294086952394808E-2</v>
      </c>
      <c r="L8">
        <v>80</v>
      </c>
      <c r="M8">
        <v>5.8363571872563722E-3</v>
      </c>
      <c r="N8">
        <v>80</v>
      </c>
      <c r="O8">
        <v>1.484064319252199E-2</v>
      </c>
      <c r="P8">
        <v>80</v>
      </c>
      <c r="Q8">
        <v>1.1760904963520729E-2</v>
      </c>
      <c r="R8">
        <v>80</v>
      </c>
      <c r="S8">
        <v>5.5294262488215186E-3</v>
      </c>
      <c r="T8">
        <v>80</v>
      </c>
      <c r="U8">
        <v>1.7491336820525706E-2</v>
      </c>
      <c r="W8" s="15" t="s">
        <v>69</v>
      </c>
      <c r="X8" s="11"/>
      <c r="Z8" s="16" t="s">
        <v>58</v>
      </c>
    </row>
    <row r="9" spans="1:27" x14ac:dyDescent="0.3">
      <c r="A9">
        <v>96</v>
      </c>
      <c r="B9">
        <v>1.8872923855821719E-2</v>
      </c>
      <c r="C9">
        <v>1.9704749431648481E-2</v>
      </c>
      <c r="D9">
        <v>2.0525873711403731E-2</v>
      </c>
      <c r="E9">
        <v>2.1351121826374331E-2</v>
      </c>
      <c r="F9">
        <v>2.2216118714126279E-2</v>
      </c>
      <c r="G9">
        <f t="shared" si="0"/>
        <v>0</v>
      </c>
      <c r="H9" cm="1">
        <f t="array" ref="H9">_xll.SRS1Splines.Functions25.Cubic_Spline($Z$9:$Z$13,B9:F9,$X$9)</f>
        <v>1.9289755835760699E-2</v>
      </c>
      <c r="J9">
        <v>96</v>
      </c>
      <c r="K9">
        <v>8.5491640353045836E-2</v>
      </c>
      <c r="L9">
        <v>96</v>
      </c>
      <c r="M9">
        <v>7.5491646362893482E-3</v>
      </c>
      <c r="N9">
        <v>96</v>
      </c>
      <c r="O9">
        <v>1.9291396076313527E-2</v>
      </c>
      <c r="P9">
        <v>96</v>
      </c>
      <c r="Q9">
        <v>1.6017493854347066E-2</v>
      </c>
      <c r="R9">
        <v>96</v>
      </c>
      <c r="S9">
        <v>7.1713909536807998E-3</v>
      </c>
      <c r="T9">
        <v>96</v>
      </c>
      <c r="U9">
        <v>2.3180616151615322E-2</v>
      </c>
      <c r="W9" s="21" t="s">
        <v>81</v>
      </c>
      <c r="X9" s="12">
        <f>0.4+$Y$7/100</f>
        <v>0.45</v>
      </c>
      <c r="Z9" s="18">
        <v>0.4</v>
      </c>
    </row>
    <row r="10" spans="1:27" x14ac:dyDescent="0.3">
      <c r="A10">
        <v>112</v>
      </c>
      <c r="B10">
        <v>2.4539066901789471E-2</v>
      </c>
      <c r="C10">
        <v>2.5618591337887471E-2</v>
      </c>
      <c r="D10">
        <v>2.6683651772227899E-2</v>
      </c>
      <c r="E10">
        <v>2.7752486807438009E-2</v>
      </c>
      <c r="F10">
        <v>2.8849321971525739E-2</v>
      </c>
      <c r="G10">
        <f t="shared" si="0"/>
        <v>0</v>
      </c>
      <c r="H10" cm="1">
        <f t="array" ref="H10">_xll.SRS1Splines.Functions25.Cubic_Spline($Z$9:$Z$13,B10:F10,$X$9)</f>
        <v>2.5080195581675301E-2</v>
      </c>
      <c r="J10">
        <v>112</v>
      </c>
      <c r="K10">
        <v>0.10404515419930886</v>
      </c>
      <c r="L10">
        <v>112</v>
      </c>
      <c r="M10">
        <v>9.7751867325490613E-3</v>
      </c>
      <c r="N10">
        <v>112</v>
      </c>
      <c r="O10">
        <v>2.5082213624787887E-2</v>
      </c>
      <c r="P10">
        <v>112</v>
      </c>
      <c r="Q10">
        <v>2.1807108680918667E-2</v>
      </c>
      <c r="R10">
        <v>112</v>
      </c>
      <c r="S10">
        <v>9.3009181282738985E-3</v>
      </c>
      <c r="T10">
        <v>112</v>
      </c>
      <c r="U10">
        <v>3.0719133483733223E-2</v>
      </c>
      <c r="W10" s="14" t="s">
        <v>72</v>
      </c>
      <c r="X10" s="14">
        <f>K_and_VT0!P4/1000</f>
        <v>0.32008956653095549</v>
      </c>
      <c r="Z10" s="19">
        <v>0.5</v>
      </c>
    </row>
    <row r="11" spans="1:27" ht="16.2" x14ac:dyDescent="0.3">
      <c r="A11">
        <v>128</v>
      </c>
      <c r="B11">
        <v>3.1908965515793274E-2</v>
      </c>
      <c r="C11">
        <v>3.3311083666798073E-2</v>
      </c>
      <c r="D11">
        <v>3.4693977646350307E-2</v>
      </c>
      <c r="E11">
        <v>3.6080867366750861E-2</v>
      </c>
      <c r="F11">
        <v>3.7491947749308314E-2</v>
      </c>
      <c r="G11">
        <f t="shared" si="0"/>
        <v>0</v>
      </c>
      <c r="H11" cm="1">
        <f t="array" ref="H11">_xll.SRS1Splines.Functions25.Cubic_Spline($Z$9:$Z$13,B11:F11,$X$9)</f>
        <v>3.2611900628391803E-2</v>
      </c>
      <c r="J11">
        <v>128</v>
      </c>
      <c r="K11">
        <v>0.12656219058275961</v>
      </c>
      <c r="L11">
        <v>128</v>
      </c>
      <c r="M11">
        <v>1.2665756009892991E-2</v>
      </c>
      <c r="N11">
        <v>128</v>
      </c>
      <c r="O11">
        <v>3.261446901839378E-2</v>
      </c>
      <c r="P11">
        <v>128</v>
      </c>
      <c r="Q11">
        <v>2.9670505845518343E-2</v>
      </c>
      <c r="R11">
        <v>128</v>
      </c>
      <c r="S11">
        <v>1.2062760866919372E-2</v>
      </c>
      <c r="T11">
        <v>128</v>
      </c>
      <c r="U11">
        <v>4.0706289294593336E-2</v>
      </c>
      <c r="W11" s="17" t="s">
        <v>75</v>
      </c>
      <c r="X11" s="12">
        <f>K_and_VT0!O4</f>
        <v>957.78211070639713</v>
      </c>
      <c r="Z11" s="20">
        <v>0.6</v>
      </c>
    </row>
    <row r="12" spans="1:27" x14ac:dyDescent="0.3">
      <c r="A12">
        <v>144</v>
      </c>
      <c r="B12">
        <v>4.1492651310753949E-2</v>
      </c>
      <c r="C12">
        <v>4.33144238723292E-2</v>
      </c>
      <c r="D12">
        <v>4.5110851996040036E-2</v>
      </c>
      <c r="E12">
        <v>4.6911878295952683E-2</v>
      </c>
      <c r="F12">
        <v>4.8738119763838066E-2</v>
      </c>
      <c r="G12">
        <f t="shared" si="0"/>
        <v>0</v>
      </c>
      <c r="H12" cm="1">
        <f t="array" ref="H12">_xll.SRS1Splines.Functions25.Cubic_Spline($Z$9:$Z$13,B12:F12,$X$9)</f>
        <v>4.2406037663671903E-2</v>
      </c>
      <c r="J12">
        <v>144</v>
      </c>
      <c r="K12">
        <v>0.15370241552546343</v>
      </c>
      <c r="L12">
        <v>144</v>
      </c>
      <c r="M12">
        <v>1.6417336108382974E-2</v>
      </c>
      <c r="N12">
        <v>144</v>
      </c>
      <c r="O12">
        <v>4.2409353950695595E-2</v>
      </c>
      <c r="P12">
        <v>144</v>
      </c>
      <c r="Q12">
        <v>4.0322379392634583E-2</v>
      </c>
      <c r="R12">
        <v>144</v>
      </c>
      <c r="S12">
        <v>1.5644621097035526E-2</v>
      </c>
      <c r="T12">
        <v>144</v>
      </c>
      <c r="U12">
        <v>5.3933540544922255E-2</v>
      </c>
      <c r="W12" s="14" t="s">
        <v>70</v>
      </c>
      <c r="X12" s="14">
        <f>1+$X$7/100</f>
        <v>2.75</v>
      </c>
      <c r="Z12" s="19">
        <v>0.7</v>
      </c>
    </row>
    <row r="13" spans="1:27" x14ac:dyDescent="0.3">
      <c r="A13">
        <v>160</v>
      </c>
      <c r="B13">
        <v>5.3951472102846912E-2</v>
      </c>
      <c r="C13">
        <v>5.6318594961153573E-2</v>
      </c>
      <c r="D13">
        <v>5.8652410932456774E-2</v>
      </c>
      <c r="E13">
        <v>6.0991711917658592E-2</v>
      </c>
      <c r="F13">
        <v>6.3360551127484746E-2</v>
      </c>
      <c r="G13">
        <f t="shared" si="0"/>
        <v>0</v>
      </c>
      <c r="H13" cm="1">
        <f t="array" ref="H13">_xll.SRS1Splines.Functions25.Cubic_Spline($Z$9:$Z$13,B13:F13,$X$9)</f>
        <v>5.5138328209250402E-2</v>
      </c>
      <c r="J13">
        <v>160</v>
      </c>
      <c r="K13">
        <v>0.18613648471497607</v>
      </c>
      <c r="L13">
        <v>160</v>
      </c>
      <c r="M13">
        <v>2.1284834492084792E-2</v>
      </c>
      <c r="N13">
        <v>160</v>
      </c>
      <c r="O13">
        <v>5.5142635785945047E-2</v>
      </c>
      <c r="P13">
        <v>160</v>
      </c>
      <c r="Q13">
        <v>5.4683356678055926E-2</v>
      </c>
      <c r="R13">
        <v>160</v>
      </c>
      <c r="S13">
        <v>2.0289860659297467E-2</v>
      </c>
      <c r="T13">
        <v>160</v>
      </c>
      <c r="U13">
        <v>7.1443010982694719E-2</v>
      </c>
      <c r="W13" s="30" t="s">
        <v>141</v>
      </c>
      <c r="X13" s="32">
        <f>1+Z7/100</f>
        <v>3.06</v>
      </c>
      <c r="Z13" s="20">
        <v>0.8</v>
      </c>
    </row>
    <row r="14" spans="1:27" x14ac:dyDescent="0.3">
      <c r="A14">
        <v>176</v>
      </c>
      <c r="B14">
        <v>7.0141023955418089E-2</v>
      </c>
      <c r="C14">
        <v>7.3215954565412356E-2</v>
      </c>
      <c r="D14">
        <v>7.6247104984651884E-2</v>
      </c>
      <c r="E14">
        <v>7.928481271190381E-2</v>
      </c>
      <c r="F14">
        <v>8.2359019456491614E-2</v>
      </c>
      <c r="G14">
        <f t="shared" si="0"/>
        <v>0</v>
      </c>
      <c r="H14" cm="1">
        <f t="array" ref="H14">_xll.SRS1Splines.Functions25.Cubic_Spline($Z$9:$Z$13,B14:F14,$X$9)</f>
        <v>7.1682818053335096E-2</v>
      </c>
      <c r="J14">
        <v>176</v>
      </c>
      <c r="K14">
        <v>0.2244817089806429</v>
      </c>
      <c r="L14">
        <v>176</v>
      </c>
      <c r="M14">
        <v>2.7598826565859658E-2</v>
      </c>
      <c r="N14">
        <v>176</v>
      </c>
      <c r="O14">
        <v>7.1688429088241842E-2</v>
      </c>
      <c r="P14">
        <v>176</v>
      </c>
      <c r="Q14">
        <v>7.3885112361898098E-2</v>
      </c>
      <c r="R14">
        <v>176</v>
      </c>
      <c r="S14">
        <v>2.6313936549852642E-2</v>
      </c>
      <c r="T14">
        <v>176</v>
      </c>
      <c r="U14">
        <v>9.4600165670503861E-2</v>
      </c>
    </row>
    <row r="15" spans="1:27" x14ac:dyDescent="0.3">
      <c r="A15">
        <v>192.00000000000009</v>
      </c>
      <c r="B15">
        <v>9.11640301134721E-2</v>
      </c>
      <c r="C15">
        <v>9.5155952252241438E-2</v>
      </c>
      <c r="D15">
        <v>9.9090139042973716E-2</v>
      </c>
      <c r="E15">
        <v>0.10303193214760679</v>
      </c>
      <c r="F15">
        <v>0.10701958343154759</v>
      </c>
      <c r="G15">
        <f t="shared" si="0"/>
        <v>0</v>
      </c>
      <c r="H15" cm="1">
        <f t="array" ref="H15">_xll.SRS1Splines.Functions25.Cubic_Spline($Z$9:$Z$13,B15:F15,$X$9)</f>
        <v>9.3165687146898199E-2</v>
      </c>
      <c r="J15">
        <v>192.00000000000009</v>
      </c>
      <c r="K15">
        <v>0.26922192222384161</v>
      </c>
      <c r="L15">
        <v>192.00000000000009</v>
      </c>
      <c r="M15">
        <v>3.5787793690442785E-2</v>
      </c>
      <c r="N15">
        <v>192.00000000000009</v>
      </c>
      <c r="O15">
        <v>9.3173011496408109E-2</v>
      </c>
      <c r="P15">
        <v>192.00000000000009</v>
      </c>
      <c r="Q15">
        <v>9.9206405396313077E-2</v>
      </c>
      <c r="R15">
        <v>192.00000000000009</v>
      </c>
      <c r="S15">
        <v>3.4125606743806901E-2</v>
      </c>
      <c r="T15">
        <v>192.00000000000009</v>
      </c>
      <c r="U15">
        <v>0.12517889327435525</v>
      </c>
      <c r="X15" s="36" t="s">
        <v>89</v>
      </c>
      <c r="Y15" s="36"/>
      <c r="Z15" s="36"/>
      <c r="AA15" s="28"/>
    </row>
    <row r="16" spans="1:27" x14ac:dyDescent="0.3">
      <c r="A16">
        <v>208.00000000000011</v>
      </c>
      <c r="B16">
        <v>0.11843278967875639</v>
      </c>
      <c r="C16">
        <v>0.1236093031683131</v>
      </c>
      <c r="D16">
        <v>0.12870916137714811</v>
      </c>
      <c r="E16">
        <v>0.1338171505650137</v>
      </c>
      <c r="F16">
        <v>0.13898256434766432</v>
      </c>
      <c r="G16">
        <f t="shared" si="0"/>
        <v>0</v>
      </c>
      <c r="H16" cm="1">
        <f t="array" ref="H16">_xll.SRS1Splines.Functions25.Cubic_Spline($Z$9:$Z$13,B16:F16,$X$9)</f>
        <v>0.12102857942709799</v>
      </c>
      <c r="J16">
        <v>208.00000000000011</v>
      </c>
      <c r="K16">
        <v>0.32063225428608944</v>
      </c>
      <c r="L16">
        <v>208.00000000000011</v>
      </c>
      <c r="M16">
        <v>4.6406735230887668E-2</v>
      </c>
      <c r="N16">
        <v>208.00000000000011</v>
      </c>
      <c r="O16">
        <v>0.12103816504169666</v>
      </c>
      <c r="P16">
        <v>208.00000000000011</v>
      </c>
      <c r="Q16">
        <v>0.13189053639481815</v>
      </c>
      <c r="R16">
        <v>208.00000000000011</v>
      </c>
      <c r="S16">
        <v>4.4254193932009689E-2</v>
      </c>
      <c r="T16">
        <v>208.00000000000011</v>
      </c>
      <c r="U16">
        <v>0.16544971689278926</v>
      </c>
      <c r="W16" s="37" t="s">
        <v>142</v>
      </c>
      <c r="AA16" s="31"/>
    </row>
    <row r="17" spans="1:24" x14ac:dyDescent="0.3">
      <c r="A17">
        <v>224.00000000000009</v>
      </c>
      <c r="B17">
        <v>0.1537371698803722</v>
      </c>
      <c r="C17">
        <v>0.16043687788380229</v>
      </c>
      <c r="D17">
        <v>0.16703366805799699</v>
      </c>
      <c r="E17">
        <v>0.1736374491123604</v>
      </c>
      <c r="F17">
        <v>0.18031183450688859</v>
      </c>
      <c r="G17">
        <f t="shared" si="0"/>
        <v>0</v>
      </c>
      <c r="H17" cm="1">
        <f t="array" ref="H17">_xll.SRS1Splines.Functions25.Cubic_Spline($Z$9:$Z$13,B17:F17,$X$9)</f>
        <v>0.15709707606926801</v>
      </c>
      <c r="J17">
        <v>224.00000000000009</v>
      </c>
      <c r="K17">
        <v>0.3787360049215861</v>
      </c>
      <c r="L17">
        <v>224.00000000000009</v>
      </c>
      <c r="M17">
        <v>6.0173768883580288E-2</v>
      </c>
      <c r="N17">
        <v>224.00000000000009</v>
      </c>
      <c r="O17">
        <v>0.1571096696369903</v>
      </c>
      <c r="P17">
        <v>224.00000000000009</v>
      </c>
      <c r="Q17">
        <v>0.17284928997204507</v>
      </c>
      <c r="R17">
        <v>224.00000000000009</v>
      </c>
      <c r="S17">
        <v>5.7384425231537375E-2</v>
      </c>
      <c r="T17">
        <v>224.00000000000009</v>
      </c>
      <c r="U17">
        <v>0.21824554790706205</v>
      </c>
      <c r="W17" s="37"/>
    </row>
    <row r="18" spans="1:24" x14ac:dyDescent="0.3">
      <c r="A18">
        <v>240.00000000000011</v>
      </c>
      <c r="B18">
        <v>0.19930634866834029</v>
      </c>
      <c r="C18">
        <v>0.2079500607784833</v>
      </c>
      <c r="D18">
        <v>0.21645330233283058</v>
      </c>
      <c r="E18">
        <v>0.2249583146048442</v>
      </c>
      <c r="F18">
        <v>0.23354703289034959</v>
      </c>
      <c r="G18">
        <f t="shared" si="0"/>
        <v>0</v>
      </c>
      <c r="H18" cm="1">
        <f t="array" ref="H18">_xll.SRS1Splines.Functions25.Cubic_Spline($Z$9:$Z$13,B18:F18,$X$9)</f>
        <v>0.203641801387658</v>
      </c>
      <c r="J18">
        <v>240.00000000000011</v>
      </c>
      <c r="K18">
        <v>0.44331089884321689</v>
      </c>
      <c r="L18">
        <v>240.00000000000011</v>
      </c>
      <c r="M18">
        <v>7.8016489625473126E-2</v>
      </c>
      <c r="N18">
        <v>240.00000000000011</v>
      </c>
      <c r="O18">
        <v>0.20365844303946612</v>
      </c>
      <c r="P18">
        <v>240.00000000000011</v>
      </c>
      <c r="Q18">
        <v>0.22238802578400438</v>
      </c>
      <c r="R18">
        <v>240.00000000000011</v>
      </c>
      <c r="S18">
        <v>7.4400489771183895E-2</v>
      </c>
      <c r="T18">
        <v>240.00000000000011</v>
      </c>
      <c r="U18">
        <v>0.28695078423925829</v>
      </c>
      <c r="W18" s="37"/>
    </row>
    <row r="19" spans="1:24" x14ac:dyDescent="0.3">
      <c r="A19">
        <v>256.00000000000011</v>
      </c>
      <c r="B19">
        <v>0.25783841385117501</v>
      </c>
      <c r="C19">
        <v>0.26893422698696379</v>
      </c>
      <c r="D19">
        <v>0.2798341355351705</v>
      </c>
      <c r="E19">
        <v>0.2907218005833318</v>
      </c>
      <c r="F19">
        <v>0.30170235647084742</v>
      </c>
      <c r="G19">
        <f t="shared" si="0"/>
        <v>0</v>
      </c>
      <c r="H19" cm="1">
        <f t="array" ref="H19">_xll.SRS1Splines.Functions25.Cubic_Spline($Z$9:$Z$13,B19:F19,$X$9)</f>
        <v>0.26340504834746797</v>
      </c>
      <c r="J19">
        <v>256.00000000000011</v>
      </c>
      <c r="K19">
        <v>0.51393990061254458</v>
      </c>
      <c r="L19">
        <v>256.00000000000011</v>
      </c>
      <c r="M19">
        <v>0.10112968965571065</v>
      </c>
      <c r="N19">
        <v>256.00000000000011</v>
      </c>
      <c r="O19">
        <v>0.26342721933430596</v>
      </c>
      <c r="P19">
        <v>256.00000000000011</v>
      </c>
      <c r="Q19">
        <v>0.28014511392494174</v>
      </c>
      <c r="R19">
        <v>256.00000000000011</v>
      </c>
      <c r="S19">
        <v>9.6440742733086324E-2</v>
      </c>
      <c r="T19">
        <v>256.00000000000011</v>
      </c>
      <c r="U19">
        <v>0.3753249716648242</v>
      </c>
      <c r="W19" s="37" t="s">
        <v>143</v>
      </c>
    </row>
    <row r="20" spans="1:24" x14ac:dyDescent="0.3">
      <c r="A20">
        <v>272.00000000000006</v>
      </c>
      <c r="B20">
        <v>0.3324518821232243</v>
      </c>
      <c r="C20">
        <v>0.34658641906472276</v>
      </c>
      <c r="D20">
        <v>0.36044113475178857</v>
      </c>
      <c r="E20">
        <v>0.37425251876906623</v>
      </c>
      <c r="F20">
        <v>0.38815485023791357</v>
      </c>
      <c r="G20">
        <f t="shared" si="0"/>
        <v>0</v>
      </c>
      <c r="H20" cm="1">
        <f t="array" ref="H20">_xll.SRS1Splines.Functions25.Cubic_Spline($Z$9:$Z$13,B20:F20,$X$9)</f>
        <v>0.33954548794678002</v>
      </c>
      <c r="J20">
        <v>272.00000000000006</v>
      </c>
      <c r="K20">
        <v>0.59008406196016716</v>
      </c>
      <c r="L20">
        <v>272.00000000000006</v>
      </c>
      <c r="M20">
        <v>0.13104504528174127</v>
      </c>
      <c r="N20">
        <v>272.00000000000006</v>
      </c>
      <c r="O20">
        <v>0.33957532701544541</v>
      </c>
      <c r="P20">
        <v>272.00000000000006</v>
      </c>
      <c r="Q20">
        <v>0.34528172196057449</v>
      </c>
      <c r="R20">
        <v>272.00000000000006</v>
      </c>
      <c r="S20">
        <v>0.12496342479737817</v>
      </c>
      <c r="T20">
        <v>272.00000000000006</v>
      </c>
      <c r="U20">
        <v>0.48706869320924856</v>
      </c>
      <c r="W20" s="37"/>
    </row>
    <row r="21" spans="1:24" x14ac:dyDescent="0.3">
      <c r="A21">
        <v>288.00000000000011</v>
      </c>
      <c r="B21">
        <v>0.42649802800348768</v>
      </c>
      <c r="C21">
        <v>0.4443051915834913</v>
      </c>
      <c r="D21">
        <v>0.46170458008447129</v>
      </c>
      <c r="E21">
        <v>0.47899990037403561</v>
      </c>
      <c r="F21">
        <v>0.49636196551537703</v>
      </c>
      <c r="G21">
        <f t="shared" si="0"/>
        <v>0</v>
      </c>
      <c r="H21" cm="1">
        <f t="array" ref="H21">_xll.SRS1Splines.Functions25.Cubic_Spline($Z$9:$Z$13,B21:F21,$X$9)</f>
        <v>0.43543933485032799</v>
      </c>
      <c r="J21">
        <v>288.00000000000011</v>
      </c>
      <c r="K21">
        <v>0.67115275153654963</v>
      </c>
      <c r="L21">
        <v>288.00000000000011</v>
      </c>
      <c r="M21">
        <v>0.16971049205818706</v>
      </c>
      <c r="N21">
        <v>288.00000000000011</v>
      </c>
      <c r="O21">
        <v>0.43547990957701055</v>
      </c>
      <c r="P21">
        <v>288.00000000000011</v>
      </c>
      <c r="Q21">
        <v>0.41676285457635104</v>
      </c>
      <c r="R21">
        <v>288.00000000000011</v>
      </c>
      <c r="S21">
        <v>0.16182079880610284</v>
      </c>
      <c r="T21">
        <v>288.00000000000011</v>
      </c>
      <c r="U21">
        <v>0.62513903006900262</v>
      </c>
      <c r="W21" s="37"/>
    </row>
    <row r="22" spans="1:24" x14ac:dyDescent="0.3">
      <c r="A22">
        <v>304.00000000000023</v>
      </c>
      <c r="B22">
        <v>0.54319275335641903</v>
      </c>
      <c r="C22">
        <v>0.56529761846891446</v>
      </c>
      <c r="D22">
        <v>0.58680316013184197</v>
      </c>
      <c r="E22">
        <v>0.60809863178736134</v>
      </c>
      <c r="F22">
        <v>0.62940088304291431</v>
      </c>
      <c r="G22">
        <f t="shared" si="0"/>
        <v>0</v>
      </c>
      <c r="H22" cm="1">
        <f t="array" ref="H22">_xll.SRS1Splines.Functions25.Cubic_Spline($Z$9:$Z$13,B22:F22,$X$9)</f>
        <v>0.554299713538429</v>
      </c>
      <c r="J22">
        <v>304.00000000000023</v>
      </c>
      <c r="K22">
        <v>0.75655641797460715</v>
      </c>
      <c r="L22">
        <v>304.00000000000023</v>
      </c>
      <c r="M22">
        <v>0.21957016516934777</v>
      </c>
      <c r="N22">
        <v>304.00000000000023</v>
      </c>
      <c r="O22">
        <v>0.55435526498907084</v>
      </c>
      <c r="P22">
        <v>304.00000000000023</v>
      </c>
      <c r="Q22">
        <v>0.49356926824809649</v>
      </c>
      <c r="R22">
        <v>304.00000000000023</v>
      </c>
      <c r="S22">
        <v>0.20933218426511072</v>
      </c>
      <c r="T22">
        <v>304.00000000000023</v>
      </c>
      <c r="U22">
        <v>0.79104047682893541</v>
      </c>
      <c r="X22" s="24"/>
    </row>
    <row r="23" spans="1:24" x14ac:dyDescent="0.3">
      <c r="A23">
        <v>320.00000000000017</v>
      </c>
      <c r="B23">
        <v>0.68511575828854143</v>
      </c>
      <c r="C23">
        <v>0.71206699632114112</v>
      </c>
      <c r="D23">
        <v>0.73814405920933013</v>
      </c>
      <c r="E23">
        <v>0.76384504667478814</v>
      </c>
      <c r="F23">
        <v>0.78944522545003348</v>
      </c>
      <c r="G23">
        <f t="shared" si="0"/>
        <v>0</v>
      </c>
      <c r="H23" cm="1">
        <f t="array" ref="H23">_xll.SRS1Splines.Functions25.Cubic_Spline($Z$9:$Z$13,B23:F23,$X$9)</f>
        <v>0.69866978668541402</v>
      </c>
      <c r="J23">
        <v>320.00000000000017</v>
      </c>
      <c r="K23">
        <v>0.8457385736748233</v>
      </c>
      <c r="L23">
        <v>320.00000000000017</v>
      </c>
      <c r="M23">
        <v>0.28362138975949214</v>
      </c>
      <c r="N23">
        <v>320.00000000000017</v>
      </c>
      <c r="O23">
        <v>0.69874580377182749</v>
      </c>
      <c r="P23">
        <v>320.00000000000017</v>
      </c>
      <c r="Q23">
        <v>0.5747965628448426</v>
      </c>
      <c r="R23">
        <v>320.00000000000017</v>
      </c>
      <c r="S23">
        <v>0.27033203995606597</v>
      </c>
      <c r="T23">
        <v>320.00000000000017</v>
      </c>
      <c r="U23">
        <v>0.98446245422910672</v>
      </c>
    </row>
    <row r="24" spans="1:24" x14ac:dyDescent="0.3">
      <c r="A24">
        <v>336.00000000000017</v>
      </c>
      <c r="B24">
        <v>0.85375406587039759</v>
      </c>
      <c r="C24">
        <v>0.88597273744568728</v>
      </c>
      <c r="D24">
        <v>0.91694430654352999</v>
      </c>
      <c r="E24">
        <v>0.94730444075869213</v>
      </c>
      <c r="F24">
        <v>0.97740237709391997</v>
      </c>
      <c r="G24">
        <f t="shared" si="0"/>
        <v>0.36720711371293846</v>
      </c>
      <c r="H24" cm="1">
        <f t="array" ref="H24">_xll.SRS1Splines.Functions25.Cubic_Spline($Z$9:$Z$13,B24:F24,$X$9)</f>
        <v>0.86997404671726697</v>
      </c>
      <c r="J24">
        <v>336.00000000000017</v>
      </c>
      <c r="K24">
        <v>0.93819073083377436</v>
      </c>
      <c r="L24">
        <v>336.00000000000017</v>
      </c>
      <c r="M24">
        <v>0.36539852146137181</v>
      </c>
      <c r="N24">
        <v>336.00000000000017</v>
      </c>
      <c r="O24">
        <v>0.87007707823399572</v>
      </c>
      <c r="P24">
        <v>336.00000000000017</v>
      </c>
      <c r="Q24">
        <v>0.65967463870990894</v>
      </c>
      <c r="R24">
        <v>336.00000000000017</v>
      </c>
      <c r="S24">
        <v>0.34814325017988906</v>
      </c>
      <c r="T24">
        <v>336.00000000000017</v>
      </c>
      <c r="U24">
        <v>1.203457081912245</v>
      </c>
    </row>
    <row r="25" spans="1:24" x14ac:dyDescent="0.3">
      <c r="A25">
        <v>352.00000000000023</v>
      </c>
      <c r="B25">
        <v>1.0493047068508921</v>
      </c>
      <c r="C25">
        <v>1.0870714710992428</v>
      </c>
      <c r="D25">
        <v>1.1231129051900361</v>
      </c>
      <c r="E25">
        <v>1.1582358047223531</v>
      </c>
      <c r="F25">
        <v>1.192881592331261</v>
      </c>
      <c r="G25">
        <f t="shared" si="0"/>
        <v>0.72782419035688872</v>
      </c>
      <c r="H25" cm="1">
        <f t="array" ref="H25">_xll.SRS1Splines.Functions25.Cubic_Spline($Z$9:$Z$13,B25:F25,$X$9)</f>
        <v>1.06833998356917</v>
      </c>
      <c r="J25">
        <v>352.00000000000023</v>
      </c>
      <c r="K25">
        <v>1.0334561324869276</v>
      </c>
      <c r="L25">
        <v>352.00000000000023</v>
      </c>
      <c r="M25">
        <v>0.46879299062054386</v>
      </c>
      <c r="N25">
        <v>352.00000000000023</v>
      </c>
      <c r="O25">
        <v>1.0684772706857086</v>
      </c>
      <c r="P25">
        <v>352.00000000000023</v>
      </c>
      <c r="Q25">
        <v>0.74755148830076668</v>
      </c>
      <c r="R25">
        <v>352.00000000000023</v>
      </c>
      <c r="S25">
        <v>0.44638803058709664</v>
      </c>
      <c r="T25">
        <v>352.00000000000023</v>
      </c>
      <c r="U25">
        <v>1.4449855978410824</v>
      </c>
    </row>
    <row r="26" spans="1:24" x14ac:dyDescent="0.3">
      <c r="A26">
        <v>368.00000000000023</v>
      </c>
      <c r="B26">
        <v>1.2708086331022079</v>
      </c>
      <c r="C26">
        <v>1.3142867624246162</v>
      </c>
      <c r="D26">
        <v>1.355455012173491</v>
      </c>
      <c r="E26">
        <v>1.3953284164999491</v>
      </c>
      <c r="F26">
        <v>1.4344604791992541</v>
      </c>
      <c r="G26">
        <f t="shared" si="0"/>
        <v>1.0809921229815054</v>
      </c>
      <c r="H26" cm="1">
        <f t="array" ref="H26">_xll.SRS1Splines.Functions25.Cubic_Spline($Z$9:$Z$13,B26:F26,$X$9)</f>
        <v>1.29274999789873</v>
      </c>
      <c r="J26">
        <v>368.00000000000023</v>
      </c>
      <c r="K26">
        <v>1.1311273954615244</v>
      </c>
      <c r="L26">
        <v>368.00000000000023</v>
      </c>
      <c r="M26">
        <v>0.59758193789059033</v>
      </c>
      <c r="N26">
        <v>368.00000000000023</v>
      </c>
      <c r="O26">
        <v>1.2929291209373586</v>
      </c>
      <c r="P26">
        <v>368.00000000000023</v>
      </c>
      <c r="Q26">
        <v>0.83786900757829874</v>
      </c>
      <c r="R26">
        <v>368.00000000000023</v>
      </c>
      <c r="S26">
        <v>0.56851932192672738</v>
      </c>
      <c r="T26">
        <v>368.00000000000023</v>
      </c>
      <c r="U26">
        <v>1.7055058388917819</v>
      </c>
    </row>
    <row r="27" spans="1:24" x14ac:dyDescent="0.3">
      <c r="A27">
        <v>384.00000000000017</v>
      </c>
      <c r="B27">
        <v>1.51649132074404</v>
      </c>
      <c r="C27">
        <v>1.5657647862186139</v>
      </c>
      <c r="D27">
        <v>1.6120395144751158</v>
      </c>
      <c r="E27">
        <v>1.656578184585076</v>
      </c>
      <c r="F27">
        <v>1.7000670691305959</v>
      </c>
      <c r="G27">
        <f t="shared" si="0"/>
        <v>1.4279270326636198</v>
      </c>
      <c r="H27" cm="1">
        <f t="array" ref="H27">_xll.SRS1Splines.Functions25.Cubic_Spline($Z$9:$Z$13,B27:F27,$X$9)</f>
        <v>1.5413897941816601</v>
      </c>
      <c r="J27">
        <v>384.00000000000017</v>
      </c>
      <c r="K27">
        <v>1.2308415656063914</v>
      </c>
      <c r="L27">
        <v>384.00000000000017</v>
      </c>
      <c r="M27">
        <v>0.75456955492627253</v>
      </c>
      <c r="N27">
        <v>384.00000000000017</v>
      </c>
      <c r="O27">
        <v>1.5416184609434316</v>
      </c>
      <c r="P27">
        <v>384.00000000000017</v>
      </c>
      <c r="Q27">
        <v>0.93014236300176023</v>
      </c>
      <c r="R27">
        <v>384.00000000000017</v>
      </c>
      <c r="S27">
        <v>0.71700043648838474</v>
      </c>
      <c r="T27">
        <v>384.00000000000017</v>
      </c>
      <c r="U27">
        <v>1.9813999760069523</v>
      </c>
    </row>
    <row r="28" spans="1:24" x14ac:dyDescent="0.3">
      <c r="A28">
        <v>400.00000000000017</v>
      </c>
      <c r="B28">
        <v>1.7841231110125819</v>
      </c>
      <c r="C28">
        <v>1.8392309970099139</v>
      </c>
      <c r="D28">
        <v>1.890549476060347</v>
      </c>
      <c r="E28">
        <v>1.939629825072851</v>
      </c>
      <c r="F28">
        <v>1.987312043946015</v>
      </c>
      <c r="G28">
        <f t="shared" si="0"/>
        <v>1.7698184999399271</v>
      </c>
      <c r="H28" cm="1">
        <f t="array" ref="H28">_xll.SRS1Splines.Functions25.Cubic_Spline($Z$9:$Z$13,B28:F28,$X$9)</f>
        <v>1.81200709897235</v>
      </c>
      <c r="J28">
        <v>400.00000000000017</v>
      </c>
      <c r="K28">
        <v>1.3322746003894772</v>
      </c>
      <c r="L28">
        <v>400.00000000000017</v>
      </c>
      <c r="M28">
        <v>0.94046014980187609</v>
      </c>
      <c r="N28">
        <v>400.00000000000017</v>
      </c>
      <c r="O28">
        <v>1.8122930813701028</v>
      </c>
      <c r="P28">
        <v>400.00000000000017</v>
      </c>
      <c r="Q28">
        <v>1.0239454124566887</v>
      </c>
      <c r="R28">
        <v>400.00000000000017</v>
      </c>
      <c r="S28">
        <v>0.89228103873826181</v>
      </c>
      <c r="T28">
        <v>400.00000000000017</v>
      </c>
      <c r="U28">
        <v>2.2692189005890122</v>
      </c>
    </row>
    <row r="29" spans="1:24" x14ac:dyDescent="0.3">
      <c r="A29">
        <v>416.00000000000034</v>
      </c>
      <c r="B29">
        <v>2.0712871739840959</v>
      </c>
      <c r="C29">
        <v>2.1322471902928499</v>
      </c>
      <c r="D29">
        <v>2.188526978245827</v>
      </c>
      <c r="E29">
        <v>2.2420087543034888</v>
      </c>
      <c r="F29">
        <v>2.2937073029285142</v>
      </c>
      <c r="G29">
        <f t="shared" si="0"/>
        <v>2.1078215288240765</v>
      </c>
      <c r="H29" cm="1">
        <f t="array" ref="H29">_xll.SRS1Splines.Functions25.Cubic_Spline($Z$9:$Z$13,B29:F29,$X$9)</f>
        <v>2.10217428886964</v>
      </c>
      <c r="J29">
        <v>416.00000000000034</v>
      </c>
      <c r="K29">
        <v>1.4351362535108829</v>
      </c>
      <c r="L29">
        <v>416.00000000000034</v>
      </c>
      <c r="M29">
        <v>1.1529902248626442</v>
      </c>
      <c r="N29">
        <v>416.00000000000034</v>
      </c>
      <c r="O29">
        <v>2.1025254635538437</v>
      </c>
      <c r="P29">
        <v>416.00000000000034</v>
      </c>
      <c r="Q29">
        <v>1.1189011778718445</v>
      </c>
      <c r="R29">
        <v>416.00000000000034</v>
      </c>
      <c r="S29">
        <v>1.0920846777246878</v>
      </c>
      <c r="T29">
        <v>416.00000000000034</v>
      </c>
      <c r="U29">
        <v>2.5658018084101628</v>
      </c>
    </row>
    <row r="30" spans="1:24" x14ac:dyDescent="0.3">
      <c r="A30">
        <v>432.00000000000028</v>
      </c>
      <c r="B30">
        <v>2.3755372029879429</v>
      </c>
      <c r="C30">
        <v>2.4423594416538901</v>
      </c>
      <c r="D30">
        <v>2.5035107435672428</v>
      </c>
      <c r="E30">
        <v>2.561248346098461</v>
      </c>
      <c r="F30">
        <v>2.6167830482846122</v>
      </c>
      <c r="G30">
        <f t="shared" si="0"/>
        <v>2.4430486393769577</v>
      </c>
      <c r="H30" cm="1">
        <f t="array" ref="H30">_xll.SRS1Splines.Functions25.Cubic_Spline($Z$9:$Z$13,B30:F30,$X$9)</f>
        <v>2.4094412608528701</v>
      </c>
      <c r="J30">
        <v>432.00000000000028</v>
      </c>
      <c r="K30">
        <v>1.5391657169289337</v>
      </c>
      <c r="L30">
        <v>432.00000000000028</v>
      </c>
      <c r="M30">
        <v>1.3870632024668395</v>
      </c>
      <c r="N30">
        <v>432.00000000000028</v>
      </c>
      <c r="O30">
        <v>2.4098657180443253</v>
      </c>
      <c r="P30">
        <v>432.00000000000028</v>
      </c>
      <c r="Q30">
        <v>1.2146756516306043</v>
      </c>
      <c r="R30">
        <v>432.00000000000028</v>
      </c>
      <c r="S30">
        <v>1.3116453822252312</v>
      </c>
      <c r="T30">
        <v>432.00000000000028</v>
      </c>
      <c r="U30">
        <v>2.8683314935261337</v>
      </c>
    </row>
    <row r="31" spans="1:24" x14ac:dyDescent="0.3">
      <c r="A31">
        <v>448.00000000000028</v>
      </c>
      <c r="B31">
        <v>2.6944738014180509</v>
      </c>
      <c r="C31">
        <v>2.7671685598555031</v>
      </c>
      <c r="D31">
        <v>2.833100323180366</v>
      </c>
      <c r="E31">
        <v>2.8949479503323787</v>
      </c>
      <c r="F31">
        <v>2.9541399009161959</v>
      </c>
      <c r="G31">
        <f t="shared" si="0"/>
        <v>2.776562268092468</v>
      </c>
      <c r="H31" cm="1">
        <f t="array" ref="H31">_xll.SRS1Splines.Functions25.Cubic_Spline($Z$9:$Z$13,B31:F31,$X$9)</f>
        <v>2.7314088863861001</v>
      </c>
      <c r="J31">
        <v>448.00000000000028</v>
      </c>
      <c r="K31">
        <v>1.644128053692163</v>
      </c>
      <c r="L31">
        <v>448.00000000000028</v>
      </c>
      <c r="M31">
        <v>1.636092524376989</v>
      </c>
      <c r="N31">
        <v>448.00000000000028</v>
      </c>
      <c r="O31">
        <v>2.7319150940665748</v>
      </c>
      <c r="P31">
        <v>448.00000000000028</v>
      </c>
      <c r="Q31">
        <v>1.3109735110508076</v>
      </c>
      <c r="R31">
        <v>448.00000000000028</v>
      </c>
      <c r="S31">
        <v>1.5449738206400934</v>
      </c>
      <c r="T31">
        <v>448.00000000000028</v>
      </c>
      <c r="U31">
        <v>3.1743600301861647</v>
      </c>
    </row>
    <row r="32" spans="1:24" x14ac:dyDescent="0.3">
      <c r="A32">
        <v>464.00000000000028</v>
      </c>
      <c r="B32">
        <v>3.025774128900272</v>
      </c>
      <c r="C32">
        <v>3.1043572195387301</v>
      </c>
      <c r="D32">
        <v>3.1749802807717571</v>
      </c>
      <c r="E32">
        <v>3.240794128776042</v>
      </c>
      <c r="F32">
        <v>3.30346733275691</v>
      </c>
      <c r="G32">
        <f t="shared" si="0"/>
        <v>3.1093676457451522</v>
      </c>
      <c r="H32" cm="1">
        <f t="array" ref="H32">_xll.SRS1Splines.Functions25.Cubic_Spline($Z$9:$Z$13,B32:F32,$X$9)</f>
        <v>3.0657574436314898</v>
      </c>
      <c r="J32">
        <v>464.00000000000028</v>
      </c>
      <c r="K32">
        <v>1.7498113045586001</v>
      </c>
      <c r="L32">
        <v>464.00000000000028</v>
      </c>
      <c r="M32">
        <v>1.8937741035936573</v>
      </c>
      <c r="N32">
        <v>464.00000000000028</v>
      </c>
      <c r="O32">
        <v>3.0663544763492823</v>
      </c>
      <c r="P32">
        <v>464.00000000000028</v>
      </c>
      <c r="Q32">
        <v>1.4075348013927012</v>
      </c>
      <c r="R32">
        <v>464.00000000000028</v>
      </c>
      <c r="S32">
        <v>1.7864102275144513</v>
      </c>
      <c r="T32">
        <v>464.00000000000028</v>
      </c>
      <c r="U32">
        <v>3.4818154390031602</v>
      </c>
    </row>
    <row r="33" spans="1:21" x14ac:dyDescent="0.3">
      <c r="A33">
        <v>480.00000000000034</v>
      </c>
      <c r="B33">
        <v>3.367198367890579</v>
      </c>
      <c r="C33">
        <v>3.4516962442186951</v>
      </c>
      <c r="D33">
        <v>3.5269255166889257</v>
      </c>
      <c r="E33">
        <v>3.5965648258367962</v>
      </c>
      <c r="F33">
        <v>3.6625466672256639</v>
      </c>
      <c r="G33">
        <f t="shared" si="0"/>
        <v>3.4424063040122106</v>
      </c>
      <c r="H33" cm="1">
        <f t="array" ref="H33">_xll.SRS1Splines.Functions25.Cubic_Spline($Z$9:$Z$13,B33:F33,$X$9)</f>
        <v>3.41025306502118</v>
      </c>
      <c r="J33">
        <v>480.00000000000034</v>
      </c>
      <c r="K33">
        <v>1.8560241862810749</v>
      </c>
      <c r="L33">
        <v>480.00000000000034</v>
      </c>
      <c r="M33">
        <v>2.1552476853859011</v>
      </c>
      <c r="N33">
        <v>480.00000000000034</v>
      </c>
      <c r="O33">
        <v>3.4109509299777008</v>
      </c>
      <c r="P33">
        <v>480.00000000000034</v>
      </c>
      <c r="Q33">
        <v>1.5041320513647978</v>
      </c>
      <c r="R33">
        <v>480.00000000000034</v>
      </c>
      <c r="S33">
        <v>2.0316028378653144</v>
      </c>
      <c r="T33">
        <v>480.00000000000034</v>
      </c>
      <c r="U33">
        <v>3.7889878182688368</v>
      </c>
    </row>
    <row r="34" spans="1:21" x14ac:dyDescent="0.3">
      <c r="A34">
        <v>496.00000000000028</v>
      </c>
      <c r="B34">
        <v>3.7165844320182919</v>
      </c>
      <c r="C34">
        <v>3.8070405922938679</v>
      </c>
      <c r="D34">
        <v>3.886797289613003</v>
      </c>
      <c r="E34">
        <v>3.9601250140975237</v>
      </c>
      <c r="F34">
        <v>4.0292461995154891</v>
      </c>
      <c r="G34">
        <f t="shared" si="0"/>
        <v>3.7765503363922566</v>
      </c>
      <c r="H34" cm="1">
        <f t="array" ref="H34">_xll.SRS1Splines.Functions25.Cubic_Spline($Z$9:$Z$13,B34:F34,$X$9)</f>
        <v>3.7627431991565801</v>
      </c>
      <c r="J34">
        <v>496.00000000000028</v>
      </c>
      <c r="K34">
        <v>1.9625941842881109</v>
      </c>
      <c r="L34">
        <v>496.00000000000028</v>
      </c>
      <c r="M34">
        <v>2.4173134328816874</v>
      </c>
      <c r="N34">
        <v>496.00000000000028</v>
      </c>
      <c r="O34">
        <v>3.763553305269236</v>
      </c>
      <c r="P34">
        <v>496.00000000000028</v>
      </c>
      <c r="Q34">
        <v>1.600567555954727</v>
      </c>
      <c r="R34">
        <v>496.00000000000028</v>
      </c>
      <c r="S34">
        <v>2.2776789252854845</v>
      </c>
      <c r="T34">
        <v>496.00000000000028</v>
      </c>
      <c r="U34">
        <v>4.0944943128260496</v>
      </c>
    </row>
    <row r="35" spans="1:21" x14ac:dyDescent="0.3">
      <c r="A35">
        <v>512.00000000000034</v>
      </c>
      <c r="B35">
        <v>4.0718357653831765</v>
      </c>
      <c r="C35">
        <v>4.1683190878822645</v>
      </c>
      <c r="D35">
        <v>4.252533476012899</v>
      </c>
      <c r="E35">
        <v>4.3294169843400194</v>
      </c>
      <c r="F35">
        <v>4.401511342439381</v>
      </c>
      <c r="G35">
        <f t="shared" ref="G35:G53" si="1">SQRT(IF((A35/1000)&lt;$X$10,0,IF($X$9&lt;(A35/1000)*$X$3+$Y$3/1000,4*$X$11*$X$9*((A35/1000)-($X$13*(A35/1000)+$Y$4)*$X$10-($X$5*(A35/1000)*(A35/1000)+$Y$5*(A35/1000)+$Z$5)*$X$9)*(1+$X$9*($X$6*(A35/1000)*(A35/1000)*(A35/1000)+$Y$6*(A35/1000)*(A35/1000)+$Z$6*(A35/1000)+$AA$6)),($X$11/$X$12)*((A35/1000)-$X$10)*((A35/1000)-$X$10)*(1+$X$9*($X$6*(A35/1000)*(A35/1000)*(A35/1000)+$Y$6*(A35/1000)*(A35/1000)+$Z$6*(A35/1000)+$AA$6)))))</f>
        <v>4.1125975075723451</v>
      </c>
      <c r="H35" cm="1">
        <f t="array" ref="H35">_xll.SRS1Splines.Functions25.Cubic_Spline($Z$9:$Z$13,B35:F35,$X$9)</f>
        <v>4.1211455046229499</v>
      </c>
      <c r="J35">
        <v>512.00000000000034</v>
      </c>
      <c r="K35">
        <v>2.069365909220128</v>
      </c>
      <c r="L35">
        <v>512.00000000000034</v>
      </c>
      <c r="M35">
        <v>2.6780655928823522</v>
      </c>
      <c r="N35">
        <v>512.00000000000034</v>
      </c>
      <c r="O35">
        <v>4.1220812799320585</v>
      </c>
      <c r="P35">
        <v>512.00000000000034</v>
      </c>
      <c r="Q35">
        <v>1.6966707223555073</v>
      </c>
      <c r="R35">
        <v>512.00000000000034</v>
      </c>
      <c r="S35">
        <v>2.5229239939042869</v>
      </c>
      <c r="T35">
        <v>512.00000000000034</v>
      </c>
      <c r="U35">
        <v>4.3972300648921951</v>
      </c>
    </row>
    <row r="36" spans="1:21" x14ac:dyDescent="0.3">
      <c r="A36">
        <v>528.00000000000034</v>
      </c>
      <c r="B36">
        <v>4.4309083124559931</v>
      </c>
      <c r="C36">
        <v>4.533522649586148</v>
      </c>
      <c r="D36">
        <v>4.6221375816658004</v>
      </c>
      <c r="E36">
        <v>4.7024499350036715</v>
      </c>
      <c r="F36">
        <v>4.7773547792376521</v>
      </c>
      <c r="G36">
        <f t="shared" si="1"/>
        <v>4.4512672707152134</v>
      </c>
      <c r="H36" cm="1">
        <f t="array" ref="H36">_xll.SRS1Splines.Functions25.Cubic_Spline($Z$9:$Z$13,B36:F36,$X$9)</f>
        <v>4.4834354917569703</v>
      </c>
      <c r="J36">
        <v>528.00000000000034</v>
      </c>
      <c r="K36">
        <v>2.1761996826781518</v>
      </c>
      <c r="L36">
        <v>528.00000000000034</v>
      </c>
      <c r="M36">
        <v>2.9364070173427783</v>
      </c>
      <c r="N36">
        <v>528.00000000000034</v>
      </c>
      <c r="O36">
        <v>4.4845130222433784</v>
      </c>
      <c r="P36">
        <v>528.00000000000034</v>
      </c>
      <c r="Q36">
        <v>1.7922954606756207</v>
      </c>
      <c r="R36">
        <v>528.00000000000034</v>
      </c>
      <c r="S36">
        <v>2.7663535840733102</v>
      </c>
      <c r="T36">
        <v>528.00000000000034</v>
      </c>
      <c r="U36">
        <v>4.6963171582533514</v>
      </c>
    </row>
    <row r="37" spans="1:21" x14ac:dyDescent="0.3">
      <c r="A37">
        <v>544.00000000000034</v>
      </c>
      <c r="B37">
        <v>4.791808326519889</v>
      </c>
      <c r="C37">
        <v>4.9007008961328333</v>
      </c>
      <c r="D37">
        <v>4.993676004559144</v>
      </c>
      <c r="E37">
        <v>5.077298451606933</v>
      </c>
      <c r="F37">
        <v>5.1548564620405894</v>
      </c>
      <c r="G37">
        <f t="shared" si="1"/>
        <v>4.793197716564479</v>
      </c>
      <c r="H37" cm="1">
        <f t="array" ref="H37">_xll.SRS1Splines.Functions25.Cubic_Spline($Z$9:$Z$13,B37:F37,$X$9)</f>
        <v>4.8476435558056004</v>
      </c>
      <c r="J37">
        <v>544.00000000000034</v>
      </c>
      <c r="K37">
        <v>2.2829702743092155</v>
      </c>
      <c r="L37">
        <v>544.00000000000034</v>
      </c>
      <c r="M37">
        <v>3.1916805135358568</v>
      </c>
      <c r="N37">
        <v>544.00000000000034</v>
      </c>
      <c r="O37">
        <v>4.8488819609950777</v>
      </c>
      <c r="P37">
        <v>544.00000000000034</v>
      </c>
      <c r="Q37">
        <v>1.8873176407182726</v>
      </c>
      <c r="R37">
        <v>544.00000000000034</v>
      </c>
      <c r="S37">
        <v>3.0073794741687983</v>
      </c>
      <c r="T37">
        <v>544.00000000000034</v>
      </c>
      <c r="U37">
        <v>4.9910608525828053</v>
      </c>
    </row>
    <row r="38" spans="1:21" x14ac:dyDescent="0.3">
      <c r="A38">
        <v>560.00000000000034</v>
      </c>
      <c r="B38">
        <v>5.1526129372503959</v>
      </c>
      <c r="C38">
        <v>5.2679781950009934</v>
      </c>
      <c r="D38">
        <v>5.3652939866628166</v>
      </c>
      <c r="E38">
        <v>5.4521197785784494</v>
      </c>
      <c r="F38">
        <v>5.5321827849304555</v>
      </c>
      <c r="G38">
        <f t="shared" si="1"/>
        <v>5.1389434440958901</v>
      </c>
      <c r="H38" cm="1">
        <f t="array" ref="H38">_xll.SRS1Splines.Functions25.Cubic_Spline($Z$9:$Z$13,B38:F38,$X$9)</f>
        <v>5.2118728749063399</v>
      </c>
      <c r="J38">
        <v>560.00000000000034</v>
      </c>
      <c r="K38">
        <v>2.3895657479471377</v>
      </c>
      <c r="L38">
        <v>560.00000000000034</v>
      </c>
      <c r="M38">
        <v>3.4434531610599204</v>
      </c>
      <c r="N38">
        <v>560.00000000000034</v>
      </c>
      <c r="O38">
        <v>5.2132941380360807</v>
      </c>
      <c r="P38">
        <v>560.00000000000034</v>
      </c>
      <c r="Q38">
        <v>1.9816326491767788</v>
      </c>
      <c r="R38">
        <v>560.00000000000034</v>
      </c>
      <c r="S38">
        <v>3.2456087950855181</v>
      </c>
      <c r="T38">
        <v>560.00000000000034</v>
      </c>
      <c r="U38">
        <v>5.2809158861637187</v>
      </c>
    </row>
    <row r="39" spans="1:21" x14ac:dyDescent="0.3">
      <c r="A39">
        <v>576.00000000000045</v>
      </c>
      <c r="B39">
        <v>5.5115141925445021</v>
      </c>
      <c r="C39">
        <v>5.6335912863179942</v>
      </c>
      <c r="D39">
        <v>5.7352519902801076</v>
      </c>
      <c r="E39">
        <v>5.8251906693410591</v>
      </c>
      <c r="F39">
        <v>5.9076245190705245</v>
      </c>
      <c r="G39">
        <f t="shared" si="1"/>
        <v>5.4889743116443777</v>
      </c>
      <c r="H39" cm="1">
        <f t="array" ref="H39">_xll.SRS1Splines.Functions25.Cubic_Spline($Z$9:$Z$13,B39:F39,$X$9)</f>
        <v>5.5743397656158304</v>
      </c>
      <c r="J39">
        <v>576.00000000000045</v>
      </c>
      <c r="K39">
        <v>2.4958863905710404</v>
      </c>
      <c r="L39">
        <v>576.00000000000045</v>
      </c>
      <c r="M39">
        <v>3.6914105405013626</v>
      </c>
      <c r="N39">
        <v>576.00000000000045</v>
      </c>
      <c r="O39">
        <v>5.5759679771740105</v>
      </c>
      <c r="P39">
        <v>576.00000000000045</v>
      </c>
      <c r="Q39">
        <v>2.0751530806814102</v>
      </c>
      <c r="R39">
        <v>576.00000000000045</v>
      </c>
      <c r="S39">
        <v>3.4807439628805334</v>
      </c>
      <c r="T39">
        <v>576.00000000000045</v>
      </c>
      <c r="U39">
        <v>5.5654610109085176</v>
      </c>
    </row>
    <row r="40" spans="1:21" x14ac:dyDescent="0.3">
      <c r="A40">
        <v>592.00000000000045</v>
      </c>
      <c r="B40">
        <v>5.8668725434994444</v>
      </c>
      <c r="C40">
        <v>5.9959372534721522</v>
      </c>
      <c r="D40">
        <v>6.1019715882084249</v>
      </c>
      <c r="E40">
        <v>6.1949524219982175</v>
      </c>
      <c r="F40">
        <v>6.2796413737874284</v>
      </c>
      <c r="G40">
        <f t="shared" si="1"/>
        <v>5.8436750014882062</v>
      </c>
      <c r="H40" cm="1">
        <f t="array" ref="H40">_xll.SRS1Splines.Functions25.Cubic_Spline($Z$9:$Z$13,B40:F40,$X$9)</f>
        <v>5.9334240960757203</v>
      </c>
      <c r="J40">
        <v>592.00000000000045</v>
      </c>
      <c r="K40">
        <v>2.601843708215918</v>
      </c>
      <c r="L40">
        <v>592.00000000000045</v>
      </c>
      <c r="M40">
        <v>3.9353117954956325</v>
      </c>
      <c r="N40">
        <v>592.00000000000045</v>
      </c>
      <c r="O40">
        <v>5.9352843554172043</v>
      </c>
      <c r="P40">
        <v>592.00000000000045</v>
      </c>
      <c r="Q40">
        <v>2.167806588825981</v>
      </c>
      <c r="R40">
        <v>592.00000000000045</v>
      </c>
      <c r="S40">
        <v>3.7125413318258573</v>
      </c>
      <c r="T40">
        <v>592.00000000000045</v>
      </c>
      <c r="U40">
        <v>5.8443788518331088</v>
      </c>
    </row>
    <row r="41" spans="1:21" x14ac:dyDescent="0.3">
      <c r="A41">
        <v>608.00000000000045</v>
      </c>
      <c r="B41">
        <v>6.2172608525327879</v>
      </c>
      <c r="C41">
        <v>6.353614800745329</v>
      </c>
      <c r="D41">
        <v>6.4640746244498271</v>
      </c>
      <c r="E41">
        <v>6.560048254893049</v>
      </c>
      <c r="F41">
        <v>6.6468976485282294</v>
      </c>
      <c r="G41">
        <f t="shared" si="1"/>
        <v>6.203345310686978</v>
      </c>
      <c r="H41" cm="1">
        <f t="array" ref="H41">_xll.SRS1Splines.Functions25.Cubic_Spline($Z$9:$Z$13,B41:F41,$X$9)</f>
        <v>6.2877118757331498</v>
      </c>
      <c r="J41">
        <v>608.00000000000045</v>
      </c>
      <c r="K41">
        <v>2.7073594798620948</v>
      </c>
      <c r="L41">
        <v>608.00000000000045</v>
      </c>
      <c r="M41">
        <v>4.1749725519476248</v>
      </c>
      <c r="N41">
        <v>608.00000000000045</v>
      </c>
      <c r="O41">
        <v>6.2898291872977516</v>
      </c>
      <c r="P41">
        <v>608.00000000000045</v>
      </c>
      <c r="Q41">
        <v>2.259533913953891</v>
      </c>
      <c r="R41">
        <v>608.00000000000045</v>
      </c>
      <c r="S41">
        <v>3.9407979414756973</v>
      </c>
      <c r="T41">
        <v>608.00000000000045</v>
      </c>
      <c r="U41">
        <v>6.1174390440788091</v>
      </c>
    </row>
    <row r="42" spans="1:21" x14ac:dyDescent="0.3">
      <c r="A42">
        <v>624.00000000000045</v>
      </c>
      <c r="B42">
        <v>6.5614872018517154</v>
      </c>
      <c r="C42">
        <v>6.7054470600138751</v>
      </c>
      <c r="D42">
        <v>6.8204045026685796</v>
      </c>
      <c r="E42">
        <v>6.9193426810274588</v>
      </c>
      <c r="F42">
        <v>7.0082795244769205</v>
      </c>
      <c r="G42">
        <f t="shared" si="1"/>
        <v>6.5682010668971067</v>
      </c>
      <c r="H42" cm="1">
        <f t="array" ref="H42">_xll.SRS1Splines.Functions25.Cubic_Spline($Z$9:$Z$13,B42:F42,$X$9)</f>
        <v>6.63601820577881</v>
      </c>
      <c r="J42">
        <v>624.00000000000045</v>
      </c>
      <c r="K42">
        <v>2.8123648646737851</v>
      </c>
      <c r="L42">
        <v>624.00000000000045</v>
      </c>
      <c r="M42">
        <v>4.4102581844785966</v>
      </c>
      <c r="N42">
        <v>624.00000000000045</v>
      </c>
      <c r="O42">
        <v>6.6384165958476391</v>
      </c>
      <c r="P42">
        <v>624.00000000000045</v>
      </c>
      <c r="Q42">
        <v>2.3502870954296888</v>
      </c>
      <c r="R42">
        <v>624.00000000000045</v>
      </c>
      <c r="S42">
        <v>4.1653489255430234</v>
      </c>
      <c r="T42">
        <v>624.00000000000045</v>
      </c>
      <c r="U42">
        <v>6.3844836647902996</v>
      </c>
    </row>
    <row r="43" spans="1:21" x14ac:dyDescent="0.3">
      <c r="A43">
        <v>640.00000000000045</v>
      </c>
      <c r="B43">
        <v>6.8985954660728872</v>
      </c>
      <c r="C43">
        <v>7.0504837175370323</v>
      </c>
      <c r="D43">
        <v>7.1700275593729721</v>
      </c>
      <c r="E43">
        <v>7.271921418809594</v>
      </c>
      <c r="F43">
        <v>7.3628932581733677</v>
      </c>
      <c r="G43">
        <f t="shared" si="1"/>
        <v>6.9383755597691721</v>
      </c>
      <c r="H43" cm="1">
        <f t="array" ref="H43">_xll.SRS1Splines.Functions25.Cubic_Spline($Z$9:$Z$13,B43:F43,$X$9)</f>
        <v>6.9773888433779403</v>
      </c>
      <c r="J43">
        <v>640.00000000000045</v>
      </c>
      <c r="K43">
        <v>2.9167995605096433</v>
      </c>
      <c r="L43">
        <v>640.00000000000045</v>
      </c>
      <c r="M43">
        <v>4.6410796618109345</v>
      </c>
      <c r="N43">
        <v>640.00000000000045</v>
      </c>
      <c r="O43">
        <v>6.9800907612182499</v>
      </c>
      <c r="P43">
        <v>640.00000000000045</v>
      </c>
      <c r="Q43">
        <v>2.4400278684671211</v>
      </c>
      <c r="R43">
        <v>640.00000000000045</v>
      </c>
      <c r="S43">
        <v>4.3860673152528769</v>
      </c>
      <c r="T43">
        <v>640.00000000000045</v>
      </c>
      <c r="U43">
        <v>6.6454145940371161</v>
      </c>
    </row>
    <row r="44" spans="1:21" x14ac:dyDescent="0.3">
      <c r="A44">
        <v>656.00000000000045</v>
      </c>
      <c r="B44">
        <v>7.2278493257557299</v>
      </c>
      <c r="C44">
        <v>7.3879869881026519</v>
      </c>
      <c r="D44">
        <v>7.5122188821043183</v>
      </c>
      <c r="E44">
        <v>7.6170763677552333</v>
      </c>
      <c r="F44">
        <v>7.7100490804742998</v>
      </c>
      <c r="G44">
        <f t="shared" si="1"/>
        <v>7.3139213758073947</v>
      </c>
      <c r="H44" cm="1">
        <f t="array" ref="H44">_xll.SRS1Splines.Functions25.Cubic_Spline($Z$9:$Z$13,B44:F44,$X$9)</f>
        <v>7.31108539129107</v>
      </c>
      <c r="J44">
        <v>656.00000000000045</v>
      </c>
      <c r="K44">
        <v>3.0206110129653734</v>
      </c>
      <c r="L44">
        <v>656.00000000000045</v>
      </c>
      <c r="M44">
        <v>4.8673892243581518</v>
      </c>
      <c r="N44">
        <v>656.00000000000045</v>
      </c>
      <c r="O44">
        <v>7.3141113541223355</v>
      </c>
      <c r="P44">
        <v>656.00000000000045</v>
      </c>
      <c r="Q44">
        <v>2.5287262397068129</v>
      </c>
      <c r="R44">
        <v>656.00000000000045</v>
      </c>
      <c r="S44">
        <v>4.6028630961811876</v>
      </c>
      <c r="T44">
        <v>656.00000000000045</v>
      </c>
      <c r="U44">
        <v>6.9001826552902434</v>
      </c>
    </row>
    <row r="45" spans="1:21" x14ac:dyDescent="0.3">
      <c r="A45">
        <v>672.00000000000045</v>
      </c>
      <c r="B45">
        <v>7.5487069712967454</v>
      </c>
      <c r="C45">
        <v>7.7174080419462987</v>
      </c>
      <c r="D45">
        <v>7.8464389253941773</v>
      </c>
      <c r="E45">
        <v>7.9542819020107043</v>
      </c>
      <c r="F45">
        <v>8.049236999537051</v>
      </c>
      <c r="G45">
        <f t="shared" si="1"/>
        <v>7.6948125264085361</v>
      </c>
      <c r="H45" cm="1">
        <f t="array" ref="H45">_xll.SRS1Splines.Functions25.Cubic_Spline($Z$9:$Z$13,B45:F45,$X$9)</f>
        <v>7.6365610047897601</v>
      </c>
      <c r="J45">
        <v>672.00000000000045</v>
      </c>
      <c r="K45">
        <v>3.1237536747152004</v>
      </c>
      <c r="L45">
        <v>672.00000000000045</v>
      </c>
      <c r="M45">
        <v>5.0891753559822801</v>
      </c>
      <c r="N45">
        <v>672.00000000000045</v>
      </c>
      <c r="O45">
        <v>7.6399294125034114</v>
      </c>
      <c r="P45">
        <v>672.00000000000045</v>
      </c>
      <c r="Q45">
        <v>2.6163592316123059</v>
      </c>
      <c r="R45">
        <v>672.00000000000045</v>
      </c>
      <c r="S45">
        <v>4.8156808202764623</v>
      </c>
      <c r="T45">
        <v>672.00000000000045</v>
      </c>
      <c r="U45">
        <v>7.1487784075295764</v>
      </c>
    </row>
    <row r="46" spans="1:21" x14ac:dyDescent="0.3">
      <c r="A46">
        <v>688.00000000000045</v>
      </c>
      <c r="B46">
        <v>7.8607924019796771</v>
      </c>
      <c r="C46">
        <v>8.038359588900823</v>
      </c>
      <c r="D46">
        <v>8.172306430273947</v>
      </c>
      <c r="E46">
        <v>8.2831678072811741</v>
      </c>
      <c r="F46">
        <v>8.3800996563326802</v>
      </c>
      <c r="G46">
        <f t="shared" si="1"/>
        <v>8.0809467642096351</v>
      </c>
      <c r="H46" cm="1">
        <f t="array" ref="H46">_xll.SRS1Splines.Functions25.Cubic_Spline($Z$9:$Z$13,B46:F46,$X$9)</f>
        <v>7.9534324207999303</v>
      </c>
      <c r="J46">
        <v>688.00000000000045</v>
      </c>
      <c r="K46">
        <v>3.2261883148514423</v>
      </c>
      <c r="L46">
        <v>688.00000000000045</v>
      </c>
      <c r="M46">
        <v>5.306457300086814</v>
      </c>
      <c r="N46">
        <v>688.00000000000045</v>
      </c>
      <c r="O46">
        <v>7.9571594735986722</v>
      </c>
      <c r="P46">
        <v>688.00000000000045</v>
      </c>
      <c r="Q46">
        <v>2.7029097831610125</v>
      </c>
      <c r="R46">
        <v>688.00000000000045</v>
      </c>
      <c r="S46">
        <v>5.0244960370393699</v>
      </c>
      <c r="T46">
        <v>688.00000000000045</v>
      </c>
      <c r="U46">
        <v>7.3912244297203875</v>
      </c>
    </row>
    <row r="47" spans="1:21" x14ac:dyDescent="0.3">
      <c r="A47">
        <v>704.00000000000057</v>
      </c>
      <c r="B47">
        <v>8.1638671352994781</v>
      </c>
      <c r="C47">
        <v>8.3505884670970048</v>
      </c>
      <c r="D47">
        <v>8.4895713783647615</v>
      </c>
      <c r="E47">
        <v>8.6034924349091249</v>
      </c>
      <c r="F47">
        <v>8.7024056337428899</v>
      </c>
      <c r="G47">
        <f t="shared" si="1"/>
        <v>8.4721479908378132</v>
      </c>
      <c r="H47" cm="1">
        <f t="array" ref="H47">_xll.SRS1Splines.Functions25.Cubic_Spline($Z$9:$Z$13,B47:F47,$X$9)</f>
        <v>8.2614521544131794</v>
      </c>
      <c r="J47">
        <v>704.00000000000057</v>
      </c>
      <c r="K47">
        <v>3.3278813775483327</v>
      </c>
      <c r="L47">
        <v>704.00000000000057</v>
      </c>
      <c r="M47">
        <v>5.519279531621109</v>
      </c>
      <c r="N47">
        <v>704.00000000000057</v>
      </c>
      <c r="O47">
        <v>8.2655518265561856</v>
      </c>
      <c r="P47">
        <v>704.00000000000057</v>
      </c>
      <c r="Q47">
        <v>2.788365792950017</v>
      </c>
      <c r="R47">
        <v>704.00000000000057</v>
      </c>
      <c r="S47">
        <v>5.2293110584331384</v>
      </c>
      <c r="T47">
        <v>704.00000000000057</v>
      </c>
      <c r="U47">
        <v>7.6275689137877221</v>
      </c>
    </row>
    <row r="48" spans="1:21" x14ac:dyDescent="0.3">
      <c r="A48">
        <v>720.00000000000057</v>
      </c>
      <c r="B48">
        <v>8.4578043734179928</v>
      </c>
      <c r="C48">
        <v>8.653950390011353</v>
      </c>
      <c r="D48">
        <v>8.7980900802184951</v>
      </c>
      <c r="E48">
        <v>8.915118066583668</v>
      </c>
      <c r="F48">
        <v>9.0160250879343486</v>
      </c>
      <c r="G48">
        <f t="shared" si="1"/>
        <v>8.8681686686939489</v>
      </c>
      <c r="H48" cm="1">
        <f t="array" ref="H48">_xll.SRS1Splines.Functions25.Cubic_Spline($Z$9:$Z$13,B48:F48,$X$9)</f>
        <v>8.5604829780010991</v>
      </c>
      <c r="J48">
        <v>720.00000000000057</v>
      </c>
      <c r="K48">
        <v>3.4288043889698478</v>
      </c>
      <c r="L48">
        <v>720.00000000000057</v>
      </c>
      <c r="M48">
        <v>5.7277065265646181</v>
      </c>
      <c r="N48">
        <v>720.00000000000057</v>
      </c>
      <c r="O48">
        <v>8.5649670196352545</v>
      </c>
      <c r="P48">
        <v>720.00000000000057</v>
      </c>
      <c r="Q48">
        <v>2.8727192904154704</v>
      </c>
      <c r="R48">
        <v>720.00000000000057</v>
      </c>
      <c r="S48">
        <v>5.4301505303570368</v>
      </c>
      <c r="T48">
        <v>720.00000000000057</v>
      </c>
      <c r="U48">
        <v>7.8578803775024033</v>
      </c>
    </row>
    <row r="49" spans="1:21" x14ac:dyDescent="0.3">
      <c r="A49">
        <v>736.00000000000057</v>
      </c>
      <c r="B49">
        <v>8.7425664834795125</v>
      </c>
      <c r="C49">
        <v>8.9483878141285818</v>
      </c>
      <c r="D49">
        <v>9.0978033417196755</v>
      </c>
      <c r="E49">
        <v>9.2179893721066453</v>
      </c>
      <c r="F49">
        <v>9.3209085076433951</v>
      </c>
      <c r="G49">
        <f t="shared" si="1"/>
        <v>9.2686921596480385</v>
      </c>
      <c r="H49" cm="1">
        <f t="array" ref="H49">_xll.SRS1Splines.Functions25.Cubic_Spline($Z$9:$Z$13,B49:F49,$X$9)</f>
        <v>8.8504756038391204</v>
      </c>
      <c r="J49">
        <v>736.00000000000057</v>
      </c>
      <c r="K49">
        <v>3.5289334109781558</v>
      </c>
      <c r="L49">
        <v>736.00000000000057</v>
      </c>
      <c r="M49">
        <v>5.9318180450168221</v>
      </c>
      <c r="N49">
        <v>736.00000000000057</v>
      </c>
      <c r="O49">
        <v>8.8553535563438182</v>
      </c>
      <c r="P49">
        <v>736.00000000000057</v>
      </c>
      <c r="Q49">
        <v>2.955965721109493</v>
      </c>
      <c r="R49">
        <v>736.00000000000057</v>
      </c>
      <c r="S49">
        <v>5.6270571529056355</v>
      </c>
      <c r="T49">
        <v>736.00000000000057</v>
      </c>
      <c r="U49">
        <v>8.0822433197260093</v>
      </c>
    </row>
    <row r="50" spans="1:21" x14ac:dyDescent="0.3">
      <c r="A50">
        <v>752.00000000000057</v>
      </c>
      <c r="B50">
        <v>9.0181859513677658</v>
      </c>
      <c r="C50">
        <v>9.2339111667959539</v>
      </c>
      <c r="D50">
        <v>9.3887179466803712</v>
      </c>
      <c r="E50">
        <v>9.5121151671544641</v>
      </c>
      <c r="F50">
        <v>9.6170687665617116</v>
      </c>
      <c r="G50">
        <f t="shared" si="1"/>
        <v>9.6733349237526749</v>
      </c>
      <c r="H50" cm="1">
        <f t="array" ref="H50">_xll.SRS1Splines.Functions25.Cubic_Spline($Z$9:$Z$13,B50:F50,$X$9)</f>
        <v>9.1314497772732608</v>
      </c>
      <c r="J50">
        <v>752.00000000000057</v>
      </c>
      <c r="K50">
        <v>3.6282485398480007</v>
      </c>
      <c r="L50">
        <v>752.00000000000057</v>
      </c>
      <c r="M50">
        <v>6.1317050307464571</v>
      </c>
      <c r="N50">
        <v>752.00000000000057</v>
      </c>
      <c r="O50">
        <v>9.136728995891028</v>
      </c>
      <c r="P50">
        <v>752.00000000000057</v>
      </c>
      <c r="Q50">
        <v>3.0381033326676641</v>
      </c>
      <c r="R50">
        <v>752.00000000000057</v>
      </c>
      <c r="S50">
        <v>5.8200877589257249</v>
      </c>
      <c r="T50">
        <v>752.00000000000057</v>
      </c>
      <c r="U50">
        <v>8.3007546599490745</v>
      </c>
    </row>
    <row r="51" spans="1:21" x14ac:dyDescent="0.3">
      <c r="A51">
        <v>768.00000000000057</v>
      </c>
      <c r="B51">
        <v>9.2847496060361792</v>
      </c>
      <c r="C51">
        <v>9.5105832848317817</v>
      </c>
      <c r="D51">
        <v>9.6708913114337118</v>
      </c>
      <c r="E51">
        <v>9.7975533136548645</v>
      </c>
      <c r="F51">
        <v>9.904566291555593</v>
      </c>
      <c r="G51">
        <f t="shared" si="1"/>
        <v>10.081648520720794</v>
      </c>
      <c r="H51" cm="1">
        <f t="array" ref="H51">_xll.SRS1Splines.Functions25.Cubic_Spline($Z$9:$Z$13,B51:F51,$X$9)</f>
        <v>9.4034786086685909</v>
      </c>
      <c r="J51">
        <v>768.00000000000057</v>
      </c>
      <c r="K51">
        <v>3.7267334478840941</v>
      </c>
      <c r="L51">
        <v>768.00000000000057</v>
      </c>
      <c r="M51">
        <v>6.3274661477881926</v>
      </c>
      <c r="N51">
        <v>768.00000000000057</v>
      </c>
      <c r="O51">
        <v>9.409164290840307</v>
      </c>
      <c r="P51">
        <v>768.00000000000057</v>
      </c>
      <c r="Q51">
        <v>3.1191326490591358</v>
      </c>
      <c r="R51">
        <v>768.00000000000057</v>
      </c>
      <c r="S51">
        <v>6.0093098552284854</v>
      </c>
      <c r="T51">
        <v>768.00000000000057</v>
      </c>
      <c r="U51">
        <v>8.5135208263055944</v>
      </c>
    </row>
    <row r="52" spans="1:21" x14ac:dyDescent="0.3">
      <c r="A52">
        <v>784.00000000000057</v>
      </c>
      <c r="B52">
        <v>9.5423857509150114</v>
      </c>
      <c r="C52">
        <v>9.7785067333413327</v>
      </c>
      <c r="D52">
        <v>9.9444189879179063</v>
      </c>
      <c r="E52">
        <v>10.074398435792951</v>
      </c>
      <c r="F52">
        <v>10.183497012397991</v>
      </c>
      <c r="G52">
        <f t="shared" si="1"/>
        <v>10.493121365542924</v>
      </c>
      <c r="H52" cm="1">
        <f t="array" ref="H52">_xll.SRS1Splines.Functions25.Cubic_Spline($Z$9:$Z$13,B52:F52,$X$9)</f>
        <v>9.6666757994644001</v>
      </c>
      <c r="J52">
        <v>784.00000000000057</v>
      </c>
      <c r="K52">
        <v>3.8243749656030053</v>
      </c>
      <c r="L52">
        <v>784.00000000000057</v>
      </c>
      <c r="M52">
        <v>6.5192049228006725</v>
      </c>
      <c r="N52">
        <v>784.00000000000057</v>
      </c>
      <c r="O52">
        <v>9.6727710195814769</v>
      </c>
      <c r="P52">
        <v>784.00000000000057</v>
      </c>
      <c r="Q52">
        <v>3.1990560218106041</v>
      </c>
      <c r="R52">
        <v>784.00000000000057</v>
      </c>
      <c r="S52">
        <v>6.1947986577491729</v>
      </c>
      <c r="T52">
        <v>784.00000000000057</v>
      </c>
      <c r="U52">
        <v>8.7206553778797034</v>
      </c>
    </row>
    <row r="53" spans="1:21" x14ac:dyDescent="0.3">
      <c r="A53">
        <v>800</v>
      </c>
      <c r="B53">
        <v>9.791253790544463</v>
      </c>
      <c r="C53">
        <v>10.03781361191451</v>
      </c>
      <c r="D53">
        <v>10.20942462924163</v>
      </c>
      <c r="E53">
        <v>10.342772066964139</v>
      </c>
      <c r="F53">
        <v>10.45398270767989</v>
      </c>
      <c r="G53">
        <f t="shared" si="1"/>
        <v>10.907180196944696</v>
      </c>
      <c r="H53" cm="1">
        <f t="array" ref="H53">_xll.SRS1Splines.Functions25.Cubic_Spline($Z$9:$Z$13,B53:F53,$X$9)</f>
        <v>9.9211853610904193</v>
      </c>
      <c r="J53">
        <v>800</v>
      </c>
      <c r="K53">
        <v>3.9211627019827024</v>
      </c>
      <c r="L53">
        <v>800</v>
      </c>
      <c r="M53">
        <v>6.7070274336851234</v>
      </c>
      <c r="N53">
        <v>800</v>
      </c>
      <c r="O53">
        <v>9.9276911132828687</v>
      </c>
      <c r="P53">
        <v>800</v>
      </c>
      <c r="Q53">
        <v>3.2778772480421012</v>
      </c>
      <c r="R53">
        <v>800</v>
      </c>
      <c r="S53">
        <v>6.3766346061491204</v>
      </c>
      <c r="T53">
        <v>800</v>
      </c>
      <c r="U53">
        <v>8.9222770665213176</v>
      </c>
    </row>
  </sheetData>
  <mergeCells count="9">
    <mergeCell ref="X15:Z15"/>
    <mergeCell ref="W16:W18"/>
    <mergeCell ref="W19:W21"/>
    <mergeCell ref="N1:O1"/>
    <mergeCell ref="J1:K1"/>
    <mergeCell ref="L1:M1"/>
    <mergeCell ref="P1:Q1"/>
    <mergeCell ref="R1:S1"/>
    <mergeCell ref="T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Spinner 7">
              <controlPr defaultSize="0" autoPict="0">
                <anchor moveWithCells="1" sizeWithCells="1">
                  <from>
                    <xdr:col>24</xdr:col>
                    <xdr:colOff>0</xdr:colOff>
                    <xdr:row>11</xdr:row>
                    <xdr:rowOff>0</xdr:rowOff>
                  </from>
                  <to>
                    <xdr:col>24</xdr:col>
                    <xdr:colOff>83820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4" name="Spinner 8">
              <controlPr defaultSize="0" autoPict="0">
                <anchor moveWithCells="1" sizeWithCells="1">
                  <from>
                    <xdr:col>24</xdr:col>
                    <xdr:colOff>0</xdr:colOff>
                    <xdr:row>8</xdr:row>
                    <xdr:rowOff>0</xdr:rowOff>
                  </from>
                  <to>
                    <xdr:col>24</xdr:col>
                    <xdr:colOff>83820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Spinner 9">
              <controlPr defaultSize="0" autoPict="0">
                <anchor moveWithCells="1" sizeWithCells="1">
                  <from>
                    <xdr:col>24</xdr:col>
                    <xdr:colOff>0</xdr:colOff>
                    <xdr:row>12</xdr:row>
                    <xdr:rowOff>0</xdr:rowOff>
                  </from>
                  <to>
                    <xdr:col>24</xdr:col>
                    <xdr:colOff>83820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" name="Button 23">
              <controlPr defaultSize="0" print="0" autoFill="0" autoPict="0" macro="[0]!NMOS_Sqrt_Id_wrt_Vgs_GPDK">
                <anchor moveWithCells="1" sizeWithCells="1">
                  <from>
                    <xdr:col>23</xdr:col>
                    <xdr:colOff>0</xdr:colOff>
                    <xdr:row>15</xdr:row>
                    <xdr:rowOff>0</xdr:rowOff>
                  </from>
                  <to>
                    <xdr:col>24</xdr:col>
                    <xdr:colOff>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7" name="Button 24">
              <controlPr defaultSize="0" print="0" autoFill="0" autoPict="0" macro="[0]!NMOS_Sqrt_Id_wrt_Vgs_PTM">
                <anchor moveWithCells="1" sizeWithCells="1">
                  <from>
                    <xdr:col>24</xdr:col>
                    <xdr:colOff>0</xdr:colOff>
                    <xdr:row>15</xdr:row>
                    <xdr:rowOff>0</xdr:rowOff>
                  </from>
                  <to>
                    <xdr:col>25</xdr:col>
                    <xdr:colOff>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8" name="Button 25">
              <controlPr defaultSize="0" print="0" autoFill="0" autoPict="0" macro="[0]!NMOS_Sqrt_Id_wrt_Vgs_SAED14">
                <anchor moveWithCells="1" sizeWithCells="1">
                  <from>
                    <xdr:col>25</xdr:col>
                    <xdr:colOff>0</xdr:colOff>
                    <xdr:row>15</xdr:row>
                    <xdr:rowOff>0</xdr:rowOff>
                  </from>
                  <to>
                    <xdr:col>25</xdr:col>
                    <xdr:colOff>609600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9" name="Button 26">
              <controlPr defaultSize="0" print="0" autoFill="0" autoPict="0" macro="[0]!PMOS_Sqrt_Id_wrt_Vgs_GPDK">
                <anchor moveWithCells="1" sizeWithCells="1">
                  <from>
                    <xdr:col>23</xdr:col>
                    <xdr:colOff>0</xdr:colOff>
                    <xdr:row>18</xdr:row>
                    <xdr:rowOff>0</xdr:rowOff>
                  </from>
                  <to>
                    <xdr:col>24</xdr:col>
                    <xdr:colOff>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0" name="Button 27">
              <controlPr defaultSize="0" print="0" autoFill="0" autoPict="0" macro="[0]!PMOS_Sqrt_Id_wrt_Vgs_PTM">
                <anchor moveWithCells="1" sizeWithCells="1">
                  <from>
                    <xdr:col>24</xdr:col>
                    <xdr:colOff>0</xdr:colOff>
                    <xdr:row>18</xdr:row>
                    <xdr:rowOff>0</xdr:rowOff>
                  </from>
                  <to>
                    <xdr:col>25</xdr:col>
                    <xdr:colOff>0</xdr:colOff>
                    <xdr:row>20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11" name="Button 28">
              <controlPr defaultSize="0" print="0" autoFill="0" autoPict="0" macro="[0]!PMOS_Sqrt_Id_wrt_Vgs_SAED14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609600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7"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DC89-1D8C-435F-9548-51A3E5BBBDE3}">
  <sheetPr codeName="Foaie16"/>
  <dimension ref="A1:C35"/>
  <sheetViews>
    <sheetView workbookViewId="0"/>
  </sheetViews>
  <sheetFormatPr defaultRowHeight="14.4" x14ac:dyDescent="0.3"/>
  <cols>
    <col min="1" max="1" width="98.88671875" bestFit="1" customWidth="1"/>
    <col min="3" max="3" width="101.5546875" bestFit="1" customWidth="1"/>
  </cols>
  <sheetData>
    <row r="1" spans="1:3" x14ac:dyDescent="0.3">
      <c r="A1" t="s">
        <v>108</v>
      </c>
      <c r="C1" t="s">
        <v>118</v>
      </c>
    </row>
    <row r="2" spans="1:3" x14ac:dyDescent="0.3">
      <c r="A2" s="25" t="s">
        <v>107</v>
      </c>
      <c r="C2" t="s">
        <v>92</v>
      </c>
    </row>
    <row r="4" spans="1:3" x14ac:dyDescent="0.3">
      <c r="A4" t="s">
        <v>132</v>
      </c>
      <c r="C4" t="s">
        <v>119</v>
      </c>
    </row>
    <row r="5" spans="1:3" x14ac:dyDescent="0.3">
      <c r="A5" t="s">
        <v>130</v>
      </c>
      <c r="C5" t="s">
        <v>93</v>
      </c>
    </row>
    <row r="7" spans="1:3" x14ac:dyDescent="0.3">
      <c r="A7" t="s">
        <v>133</v>
      </c>
      <c r="C7" t="s">
        <v>120</v>
      </c>
    </row>
    <row r="8" spans="1:3" x14ac:dyDescent="0.3">
      <c r="A8" t="s">
        <v>131</v>
      </c>
      <c r="C8" t="s">
        <v>94</v>
      </c>
    </row>
    <row r="10" spans="1:3" x14ac:dyDescent="0.3">
      <c r="A10" t="s">
        <v>134</v>
      </c>
      <c r="C10" t="s">
        <v>121</v>
      </c>
    </row>
    <row r="11" spans="1:3" x14ac:dyDescent="0.3">
      <c r="C11" t="s">
        <v>95</v>
      </c>
    </row>
    <row r="13" spans="1:3" x14ac:dyDescent="0.3">
      <c r="A13" t="s">
        <v>135</v>
      </c>
      <c r="C13" t="s">
        <v>122</v>
      </c>
    </row>
    <row r="14" spans="1:3" x14ac:dyDescent="0.3">
      <c r="A14" t="s">
        <v>136</v>
      </c>
      <c r="C14" t="s">
        <v>96</v>
      </c>
    </row>
    <row r="16" spans="1:3" x14ac:dyDescent="0.3">
      <c r="A16" t="s">
        <v>138</v>
      </c>
      <c r="C16" t="s">
        <v>123</v>
      </c>
    </row>
    <row r="17" spans="1:3" x14ac:dyDescent="0.3">
      <c r="A17" t="s">
        <v>137</v>
      </c>
      <c r="C17" t="s">
        <v>97</v>
      </c>
    </row>
    <row r="19" spans="1:3" x14ac:dyDescent="0.3">
      <c r="A19" t="s">
        <v>139</v>
      </c>
      <c r="C19" t="s">
        <v>124</v>
      </c>
    </row>
    <row r="20" spans="1:3" x14ac:dyDescent="0.3">
      <c r="A20" t="s">
        <v>140</v>
      </c>
      <c r="C20" t="s">
        <v>98</v>
      </c>
    </row>
    <row r="22" spans="1:3" x14ac:dyDescent="0.3">
      <c r="A22" t="s">
        <v>114</v>
      </c>
      <c r="C22" t="s">
        <v>125</v>
      </c>
    </row>
    <row r="23" spans="1:3" x14ac:dyDescent="0.3">
      <c r="A23" t="s">
        <v>91</v>
      </c>
      <c r="C23" t="s">
        <v>99</v>
      </c>
    </row>
    <row r="25" spans="1:3" x14ac:dyDescent="0.3">
      <c r="A25" t="s">
        <v>115</v>
      </c>
      <c r="C25" t="s">
        <v>126</v>
      </c>
    </row>
    <row r="26" spans="1:3" x14ac:dyDescent="0.3">
      <c r="A26" t="s">
        <v>104</v>
      </c>
      <c r="C26" t="s">
        <v>100</v>
      </c>
    </row>
    <row r="28" spans="1:3" x14ac:dyDescent="0.3">
      <c r="A28" t="s">
        <v>116</v>
      </c>
      <c r="C28" t="s">
        <v>127</v>
      </c>
    </row>
    <row r="29" spans="1:3" x14ac:dyDescent="0.3">
      <c r="A29" t="s">
        <v>105</v>
      </c>
      <c r="C29" t="s">
        <v>101</v>
      </c>
    </row>
    <row r="31" spans="1:3" x14ac:dyDescent="0.3">
      <c r="A31" t="s">
        <v>117</v>
      </c>
      <c r="C31" t="s">
        <v>128</v>
      </c>
    </row>
    <row r="32" spans="1:3" x14ac:dyDescent="0.3">
      <c r="A32" t="s">
        <v>106</v>
      </c>
      <c r="C32" t="s">
        <v>102</v>
      </c>
    </row>
    <row r="34" spans="3:3" x14ac:dyDescent="0.3">
      <c r="C34" t="s">
        <v>129</v>
      </c>
    </row>
    <row r="35" spans="3:3" x14ac:dyDescent="0.3">
      <c r="C35" t="s">
        <v>103</v>
      </c>
    </row>
  </sheetData>
  <pageMargins left="0.7" right="0.7" top="0.75" bottom="0.75" header="0.3" footer="0.3"/>
  <pageSetup orientation="portrait" horizontalDpi="4294967295" verticalDpi="4294967295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8A1C5-5B96-4A5E-BEF7-5B97ACA3E1A9}">
  <sheetPr codeName="Foaie17"/>
  <dimension ref="A1:E26"/>
  <sheetViews>
    <sheetView workbookViewId="0"/>
  </sheetViews>
  <sheetFormatPr defaultRowHeight="14.4" x14ac:dyDescent="0.3"/>
  <cols>
    <col min="1" max="1" width="92.88671875" bestFit="1" customWidth="1"/>
    <col min="3" max="3" width="100.88671875" bestFit="1" customWidth="1"/>
    <col min="4" max="7" width="11.33203125" bestFit="1" customWidth="1"/>
  </cols>
  <sheetData>
    <row r="1" spans="1:5" x14ac:dyDescent="0.3">
      <c r="A1" t="s">
        <v>108</v>
      </c>
      <c r="C1" t="s">
        <v>121</v>
      </c>
      <c r="E1" t="s">
        <v>109</v>
      </c>
    </row>
    <row r="2" spans="1:5" x14ac:dyDescent="0.3">
      <c r="A2" t="s">
        <v>107</v>
      </c>
      <c r="C2" t="s">
        <v>95</v>
      </c>
      <c r="E2">
        <v>96</v>
      </c>
    </row>
    <row r="4" spans="1:5" x14ac:dyDescent="0.3">
      <c r="A4" t="s">
        <v>114</v>
      </c>
      <c r="C4" t="s">
        <v>122</v>
      </c>
      <c r="E4" t="s">
        <v>110</v>
      </c>
    </row>
    <row r="5" spans="1:5" x14ac:dyDescent="0.3">
      <c r="A5" t="s">
        <v>91</v>
      </c>
      <c r="C5" t="s">
        <v>96</v>
      </c>
      <c r="E5">
        <v>128</v>
      </c>
    </row>
    <row r="7" spans="1:5" x14ac:dyDescent="0.3">
      <c r="A7" t="s">
        <v>115</v>
      </c>
      <c r="C7" t="s">
        <v>123</v>
      </c>
      <c r="E7" t="s">
        <v>111</v>
      </c>
    </row>
    <row r="8" spans="1:5" x14ac:dyDescent="0.3">
      <c r="A8" t="s">
        <v>104</v>
      </c>
      <c r="C8" t="s">
        <v>97</v>
      </c>
      <c r="E8">
        <v>160</v>
      </c>
    </row>
    <row r="10" spans="1:5" x14ac:dyDescent="0.3">
      <c r="A10" t="s">
        <v>116</v>
      </c>
      <c r="C10" t="s">
        <v>124</v>
      </c>
      <c r="E10" t="s">
        <v>112</v>
      </c>
    </row>
    <row r="11" spans="1:5" x14ac:dyDescent="0.3">
      <c r="A11" t="s">
        <v>105</v>
      </c>
      <c r="C11" t="s">
        <v>98</v>
      </c>
      <c r="E11">
        <v>192.00000000000009</v>
      </c>
    </row>
    <row r="13" spans="1:5" x14ac:dyDescent="0.3">
      <c r="A13" t="s">
        <v>117</v>
      </c>
      <c r="C13" t="s">
        <v>125</v>
      </c>
      <c r="E13" t="s">
        <v>113</v>
      </c>
    </row>
    <row r="14" spans="1:5" x14ac:dyDescent="0.3">
      <c r="A14" t="s">
        <v>106</v>
      </c>
      <c r="C14" t="s">
        <v>99</v>
      </c>
      <c r="E14">
        <v>240.00000000000011</v>
      </c>
    </row>
    <row r="16" spans="1:5" x14ac:dyDescent="0.3">
      <c r="A16" t="s">
        <v>118</v>
      </c>
      <c r="C16" t="s">
        <v>126</v>
      </c>
    </row>
    <row r="17" spans="1:3" x14ac:dyDescent="0.3">
      <c r="A17" t="s">
        <v>92</v>
      </c>
      <c r="C17" t="s">
        <v>100</v>
      </c>
    </row>
    <row r="19" spans="1:3" x14ac:dyDescent="0.3">
      <c r="A19" t="s">
        <v>119</v>
      </c>
      <c r="C19" t="s">
        <v>127</v>
      </c>
    </row>
    <row r="20" spans="1:3" x14ac:dyDescent="0.3">
      <c r="A20" t="s">
        <v>93</v>
      </c>
      <c r="C20" t="s">
        <v>101</v>
      </c>
    </row>
    <row r="22" spans="1:3" x14ac:dyDescent="0.3">
      <c r="A22" t="s">
        <v>120</v>
      </c>
      <c r="C22" t="s">
        <v>128</v>
      </c>
    </row>
    <row r="23" spans="1:3" x14ac:dyDescent="0.3">
      <c r="A23" t="s">
        <v>94</v>
      </c>
      <c r="C23" t="s">
        <v>102</v>
      </c>
    </row>
    <row r="25" spans="1:3" x14ac:dyDescent="0.3">
      <c r="C25" t="s">
        <v>129</v>
      </c>
    </row>
    <row r="26" spans="1:3" x14ac:dyDescent="0.3">
      <c r="C26" t="s">
        <v>103</v>
      </c>
    </row>
  </sheetData>
  <pageMargins left="0.7" right="0.7" top="0.75" bottom="0.75" header="0.3" footer="0.3"/>
  <tableParts count="2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6707D4-85D6-4F73-8C21-106D65765A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Foi de lucru</vt:lpstr>
      </vt:variant>
      <vt:variant>
        <vt:i4>12</vt:i4>
      </vt:variant>
    </vt:vector>
  </HeadingPairs>
  <TitlesOfParts>
    <vt:vector size="12" baseType="lpstr">
      <vt:lpstr>Id_wrt_Vds</vt:lpstr>
      <vt:lpstr>Sqrt_of_Id_wrt_Vgs_for_Vbs_0V</vt:lpstr>
      <vt:lpstr>Sqrt_of_Id_wrt_Vgs_for_diff_Vbs</vt:lpstr>
      <vt:lpstr>Vds_sat</vt:lpstr>
      <vt:lpstr>K_and_VT0</vt:lpstr>
      <vt:lpstr>Lambda</vt:lpstr>
      <vt:lpstr>Gamma</vt:lpstr>
      <vt:lpstr>VT0_and_Vds_coeffs</vt:lpstr>
      <vt:lpstr>Id_wrt_Vds_Plot</vt:lpstr>
      <vt:lpstr>Sqrt_of_Id_wrt_Vgs_Plot</vt:lpstr>
      <vt:lpstr>User_Parameters</vt:lpstr>
      <vt:lpstr>DO NOT CHANGE!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Eduard-Dimitrie-Alexandru VULPE (102585)</cp:lastModifiedBy>
  <dcterms:created xsi:type="dcterms:W3CDTF">2015-06-05T18:19:34Z</dcterms:created>
  <dcterms:modified xsi:type="dcterms:W3CDTF">2026-07-02T09:52:40Z</dcterms:modified>
</cp:coreProperties>
</file>